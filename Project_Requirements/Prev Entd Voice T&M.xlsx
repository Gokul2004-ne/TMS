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 codeName="{26A90621-87C4-6C01-FD6A-EE6E7C140903}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shalC\Documents\"/>
    </mc:Choice>
  </mc:AlternateContent>
  <xr:revisionPtr revIDLastSave="0" documentId="13_ncr:1_{2D7F10DE-FB65-47D9-9484-0E241360732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mp" sheetId="1" r:id="rId1"/>
    <sheet name="Call" sheetId="6" r:id="rId2"/>
    <sheet name="List" sheetId="4" state="hidden" r:id="rId3"/>
  </sheets>
  <externalReferences>
    <externalReference r:id="rId4"/>
    <externalReference r:id="rId5"/>
    <externalReference r:id="rId6"/>
    <externalReference r:id="rId7"/>
  </externalReferences>
  <definedNames>
    <definedName name="_xlnm._FilterDatabase" localSheetId="0" hidden="1">Temp!$B$8:$O$335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4" i="1" l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9" i="1"/>
  <c r="J21" i="1" l="1"/>
  <c r="J41" i="1"/>
  <c r="J40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9" i="1" l="1"/>
  <c r="J20" i="1"/>
  <c r="J22" i="1"/>
  <c r="J43" i="1" l="1"/>
  <c r="J42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18" i="1"/>
  <c r="J17" i="1"/>
  <c r="J16" i="1"/>
  <c r="J15" i="1"/>
  <c r="J14" i="1"/>
  <c r="J13" i="1"/>
  <c r="J12" i="1"/>
  <c r="J11" i="1"/>
  <c r="J10" i="1"/>
  <c r="J9" i="1"/>
  <c r="J335" i="1" l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44" i="1"/>
</calcChain>
</file>

<file path=xl/sharedStrings.xml><?xml version="1.0" encoding="utf-8"?>
<sst xmlns="http://schemas.openxmlformats.org/spreadsheetml/2006/main" count="1562" uniqueCount="125">
  <si>
    <t>Date</t>
  </si>
  <si>
    <t xml:space="preserve">User Name </t>
  </si>
  <si>
    <t xml:space="preserve">WQ Name </t>
  </si>
  <si>
    <t xml:space="preserve">Payor Name </t>
  </si>
  <si>
    <t>Claim #</t>
  </si>
  <si>
    <t>Steps</t>
  </si>
  <si>
    <t>Start time</t>
  </si>
  <si>
    <t>End time</t>
  </si>
  <si>
    <t>Total Duration</t>
  </si>
  <si>
    <t>Voice/Non Voice</t>
  </si>
  <si>
    <t>Value add/NVA</t>
  </si>
  <si>
    <t>Resolved by</t>
  </si>
  <si>
    <t>Account type</t>
  </si>
  <si>
    <t>User Experience</t>
  </si>
  <si>
    <t>Login to Citrix application.</t>
  </si>
  <si>
    <t>Voice</t>
  </si>
  <si>
    <t>Call</t>
  </si>
  <si>
    <t>Medium</t>
  </si>
  <si>
    <t>Tenured</t>
  </si>
  <si>
    <t>Login to Athena software.</t>
  </si>
  <si>
    <t>Search and open the assigned Claim ID in Athena.</t>
  </si>
  <si>
    <t>Review claim details, denial reason, notes history, and billing information.</t>
  </si>
  <si>
    <t>Open the Phone Payer tab in Athena.</t>
  </si>
  <si>
    <t>Login to portal.</t>
  </si>
  <si>
    <t>Review any available EOB, Previous, or documents.</t>
  </si>
  <si>
    <t>Login to the KP Workflow link.</t>
  </si>
  <si>
    <t>Login to Call Traverse.</t>
  </si>
  <si>
    <t>Retrieve the appropriate notes template from the workflow.</t>
  </si>
  <si>
    <t>Edit the notes template with claim-specific information.</t>
  </si>
  <si>
    <t>Refer to the Tipsheet and workflow for the correct kick code selection.</t>
  </si>
  <si>
    <t>Update detailed call notes in Athena.</t>
  </si>
  <si>
    <t>Login to Aspire.</t>
  </si>
  <si>
    <t>Fresher</t>
  </si>
  <si>
    <t>Mid Exp</t>
  </si>
  <si>
    <t>Website</t>
  </si>
  <si>
    <t xml:space="preserve">Simple </t>
  </si>
  <si>
    <t>Non Voice</t>
  </si>
  <si>
    <t>Self</t>
  </si>
  <si>
    <t>Complex</t>
  </si>
  <si>
    <t>Fax</t>
  </si>
  <si>
    <t>BVA</t>
  </si>
  <si>
    <t>VA</t>
  </si>
  <si>
    <t>Perform pre-service/claim analysis to identify the next action.</t>
  </si>
  <si>
    <t>Verify payer information and available contact details.</t>
  </si>
  <si>
    <t>NVA</t>
  </si>
  <si>
    <t>Validate that all supporting information has been documented accurately.</t>
  </si>
  <si>
    <t>Save all changes and move to the next claim.</t>
  </si>
  <si>
    <t xml:space="preserve">Main Task </t>
  </si>
  <si>
    <t xml:space="preserve">Sub Task </t>
  </si>
  <si>
    <t xml:space="preserve">Log in to Practice </t>
  </si>
  <si>
    <t>Log to Practice</t>
  </si>
  <si>
    <t>Payer tab</t>
  </si>
  <si>
    <t>Patient tab</t>
  </si>
  <si>
    <t>Claim tab</t>
  </si>
  <si>
    <t>Pre Posting validation</t>
  </si>
  <si>
    <t>Validate the if ERA was already process with check , claim and patient and payment amount</t>
  </si>
  <si>
    <t>Need to go to financial tab, Select as post payment</t>
  </si>
  <si>
    <t xml:space="preserve">Need to select as manual tab and select patient or Insurance </t>
  </si>
  <si>
    <t>Select the payer correctly</t>
  </si>
  <si>
    <t>Select the payment method</t>
  </si>
  <si>
    <t xml:space="preserve">Select the primary location from the drop-down menu Location. </t>
  </si>
  <si>
    <t xml:space="preserve">Batch creation </t>
  </si>
  <si>
    <t>Financial home page</t>
  </si>
  <si>
    <t>Select the batch</t>
  </si>
  <si>
    <t xml:space="preserve">New batch </t>
  </si>
  <si>
    <t>Need to add naming convention as per requirement of client</t>
  </si>
  <si>
    <t>Select the transection type</t>
  </si>
  <si>
    <t>Select the deposit date</t>
  </si>
  <si>
    <t>Select the batch type</t>
  </si>
  <si>
    <t>Posting Payment</t>
  </si>
  <si>
    <t>Enter the check number</t>
  </si>
  <si>
    <t>Enter the entire check payment amount</t>
  </si>
  <si>
    <t>Submit</t>
  </si>
  <si>
    <t>Attached the EOB and upload the EOB ( only for Insuracne payment )</t>
  </si>
  <si>
    <t>Enter the claim #  in search option</t>
  </si>
  <si>
    <t>Choose a claim to associate this check to. Validate the patient name and DOS before associate the payment</t>
  </si>
  <si>
    <t>Enter the claim amount to associate the payment.</t>
  </si>
  <si>
    <t>Client the pay/Adjust tap</t>
  </si>
  <si>
    <t>Enter the payment as per EOB</t>
  </si>
  <si>
    <t>select the posted date and click the post selected to completed the payment</t>
  </si>
  <si>
    <t>Tracker in excel for Produciton</t>
  </si>
  <si>
    <t>Avinash Uppari</t>
  </si>
  <si>
    <t>Prev Entd</t>
  </si>
  <si>
    <t>UHC</t>
  </si>
  <si>
    <t>1459684v27472</t>
  </si>
  <si>
    <t>A call is placed to the Insurance</t>
  </si>
  <si>
    <t xml:space="preserve">Enter the required details in IVR </t>
  </si>
  <si>
    <t>Connect to a live representative</t>
  </si>
  <si>
    <t>Login to Athena application</t>
  </si>
  <si>
    <t>Users will open the claim in Athena</t>
  </si>
  <si>
    <t>User will do the pre service analysis</t>
  </si>
  <si>
    <t>User will review the complete claim to identify the denial/paid scenario</t>
  </si>
  <si>
    <t>Check the phone payer tab to identify the insurance</t>
  </si>
  <si>
    <t>Check the portal for all claims/appeals status</t>
  </si>
  <si>
    <t>Check for the EOB's</t>
  </si>
  <si>
    <t>If EOB is available they will upload in Athena</t>
  </si>
  <si>
    <t>If EOB is not available a call needs to be placed</t>
  </si>
  <si>
    <t>User will check the insurance phone number in phone payer tab</t>
  </si>
  <si>
    <t>Open the Call Traverse (Calling Tool) application</t>
  </si>
  <si>
    <t>Discuss about the claim/appeal/Reprocess status with the insurance representative</t>
  </si>
  <si>
    <t>Take the information from the representative</t>
  </si>
  <si>
    <t>Will address the claim with valid and correct kick code based on the claim scenario</t>
  </si>
  <si>
    <t>Enter the worked claim details in Aspire</t>
  </si>
  <si>
    <t>Jaswanthi</t>
  </si>
  <si>
    <t>GWH-Cigna</t>
  </si>
  <si>
    <t>1534363v11087</t>
  </si>
  <si>
    <t>Unique Id</t>
  </si>
  <si>
    <t>2a41949b-8470-44b5-8ff3-180d0589b24d</t>
  </si>
  <si>
    <t>645a7118-8896-4871-890f-9d541a358dff</t>
  </si>
  <si>
    <t>Siddhesh Sankpal</t>
  </si>
  <si>
    <t>Aetna &amp; Aetna/US Healthcare [121]</t>
  </si>
  <si>
    <t>878113v28621</t>
  </si>
  <si>
    <t>Check previous work done on the claim to avoid duplicate actions.</t>
  </si>
  <si>
    <t>Search for the claim and review claim status and denial details.</t>
  </si>
  <si>
    <t>If the claim cannot be resolved through the portal, prepare to contact the insurance payer.</t>
  </si>
  <si>
    <t>Search for the correct payer contact number using Phone Payer</t>
  </si>
  <si>
    <t>Wait on call hold time</t>
  </si>
  <si>
    <t>Discuss the claim with the payer representative and obtain required claim details.</t>
  </si>
  <si>
    <t>Verify denial reason and required corrective action.</t>
  </si>
  <si>
    <t>Document all information received from the payer representative.</t>
  </si>
  <si>
    <t>Take help from process coach.</t>
  </si>
  <si>
    <t>Address the claim using the appropriate kick code and updated notes.</t>
  </si>
  <si>
    <t>Update claim completion details and resolution status in Aspire.</t>
  </si>
  <si>
    <t>Perform final quality check to ensure all updates are completed correctly.</t>
  </si>
  <si>
    <t>4307320v12576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</si>
</sst>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h\.mm\.ss\ AM/PM;@"/>
    <numFmt numFmtId="165" formatCode="[$-409]General"/>
    <numFmt numFmtId="166" formatCode="[$-409]h&quot;:&quot;mm&quot; &quot;AM/PM"/>
    <numFmt numFmtId="167" formatCode="h:mm;@"/>
  </numFmts>
  <fonts count="11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3049"/>
      <name val="Calibri"/>
      <family val="2"/>
      <scheme val="minor"/>
    </font>
    <font>
      <b/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sz val="11"/>
      <color theme="0"/>
      <name val="Calibri"/>
      <family val="2"/>
      <scheme val="minor"/>
    </font>
    <font>
      <sz val="8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304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rgb="FFFFFFFF"/>
      </patternFill>
    </fill>
  </fills>
  <borders count="5">
    <border>
      <left/>
      <right/>
      <top/>
      <bottom/>
      <diagonal/>
    </border>
    <border>
      <left style="thin">
        <color rgb="FF003049"/>
      </left>
      <right style="thin">
        <color rgb="FF003049"/>
      </right>
      <top style="thin">
        <color rgb="FF003049"/>
      </top>
      <bottom style="thin">
        <color rgb="FF0030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3049"/>
      </left>
      <right style="thin">
        <color rgb="FF003049"/>
      </right>
      <top/>
      <bottom style="thin">
        <color rgb="FF00304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5" fontId="7" fillId="0" borderId="0"/>
  </cellStyleXfs>
  <cellXfs count="54">
    <xf numFmtId="0" fontId="0" fillId="0" borderId="0" xfId="0"/>
    <xf numFmtId="0" fontId="1" fillId="2" borderId="0" xfId="0" applyFont="1" applyFill="1" applyAlignment="1">
      <alignment horizontal="center"/>
    </xf>
    <xf numFmtId="18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45" fontId="1" fillId="2" borderId="0" xfId="0" applyNumberFormat="1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5" fontId="3" fillId="4" borderId="0" xfId="0" applyNumberFormat="1" applyFont="1" applyFill="1" applyAlignment="1">
      <alignment horizontal="center"/>
    </xf>
    <xf numFmtId="22" fontId="1" fillId="2" borderId="0" xfId="0" applyNumberFormat="1" applyFont="1" applyFill="1" applyAlignment="1">
      <alignment horizontal="center"/>
    </xf>
    <xf numFmtId="22" fontId="2" fillId="2" borderId="0" xfId="0" applyNumberFormat="1" applyFont="1" applyFill="1" applyAlignment="1">
      <alignment horizontal="center"/>
    </xf>
    <xf numFmtId="45" fontId="2" fillId="2" borderId="0" xfId="0" applyNumberFormat="1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18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45" fontId="3" fillId="5" borderId="2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1" fontId="3" fillId="5" borderId="2" xfId="0" applyNumberFormat="1" applyFont="1" applyFill="1" applyBorder="1" applyAlignment="1">
      <alignment horizontal="center" vertical="center"/>
    </xf>
    <xf numFmtId="1" fontId="2" fillId="5" borderId="2" xfId="0" applyNumberFormat="1" applyFont="1" applyFill="1" applyBorder="1" applyAlignment="1">
      <alignment horizontal="center" vertical="center"/>
    </xf>
    <xf numFmtId="1" fontId="2" fillId="2" borderId="0" xfId="0" applyNumberFormat="1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  <xf numFmtId="167" fontId="1" fillId="2" borderId="0" xfId="0" applyNumberFormat="1" applyFont="1" applyFill="1" applyAlignment="1">
      <alignment horizontal="center"/>
    </xf>
    <xf numFmtId="167" fontId="2" fillId="2" borderId="0" xfId="0" applyNumberFormat="1" applyFont="1" applyFill="1" applyAlignment="1">
      <alignment horizontal="center"/>
    </xf>
    <xf numFmtId="167" fontId="4" fillId="2" borderId="0" xfId="0" applyNumberFormat="1" applyFont="1" applyFill="1" applyAlignment="1">
      <alignment horizontal="center"/>
    </xf>
    <xf numFmtId="167" fontId="3" fillId="5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4" fontId="2" fillId="2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4" fontId="1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8" fontId="1" fillId="3" borderId="2" xfId="0" applyNumberFormat="1" applyFont="1" applyFill="1" applyBorder="1" applyAlignment="1">
      <alignment horizontal="center" vertical="center"/>
    </xf>
    <xf numFmtId="167" fontId="5" fillId="6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2" fontId="5" fillId="6" borderId="2" xfId="0" applyNumberFormat="1" applyFont="1" applyFill="1" applyBorder="1" applyAlignment="1">
      <alignment horizontal="center" vertical="center"/>
    </xf>
    <xf numFmtId="166" fontId="8" fillId="7" borderId="2" xfId="1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6" fontId="8" fillId="9" borderId="2" xfId="1" applyNumberFormat="1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/>
    </xf>
    <xf numFmtId="0" fontId="2" fillId="2" borderId="2" xfId="0" quotePrefix="1" applyFont="1" applyFill="1" applyBorder="1" applyAlignment="1">
      <alignment horizontal="center" vertical="center"/>
    </xf>
    <xf numFmtId="18" fontId="2" fillId="2" borderId="2" xfId="0" applyNumberFormat="1" applyFont="1" applyFill="1" applyBorder="1" applyAlignment="1">
      <alignment horizontal="center" vertical="center"/>
    </xf>
    <xf numFmtId="0" fontId="2" fillId="0" borderId="0" xfId="0" applyFont="1"/>
    <xf numFmtId="0" fontId="10" fillId="0" borderId="0" xfId="0" applyFont="1"/>
    <xf numFmtId="0" fontId="3" fillId="2" borderId="2" xfId="0" applyFont="1" applyFill="1" applyBorder="1" applyAlignment="1">
      <alignment horizontal="center"/>
    </xf>
    <xf numFmtId="166" fontId="8" fillId="7" borderId="4" xfId="1" applyNumberFormat="1" applyFont="1" applyFill="1" applyBorder="1" applyAlignment="1">
      <alignment horizontal="center" vertical="center"/>
    </xf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0030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microsoft.com/office/2006/relationships/vbaProject" Target="vbaProject.bin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microsoft.com/office/2007/relationships/hdphoto" Target="../media/hdphoto1.wdp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2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6350</xdr:rowOff>
    </xdr:from>
    <xdr:to>
      <xdr:col>14</xdr:col>
      <xdr:colOff>22860</xdr:colOff>
      <xdr:row>0</xdr:row>
      <xdr:rowOff>298449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74320" y="6350"/>
          <a:ext cx="10789920" cy="292099"/>
        </a:xfrm>
        <a:prstGeom prst="roundRect">
          <a:avLst/>
        </a:prstGeom>
        <a:gradFill flip="none" rotWithShape="1">
          <a:gsLst>
            <a:gs pos="0">
              <a:srgbClr val="0070C0">
                <a:shade val="30000"/>
                <a:satMod val="115000"/>
              </a:srgbClr>
            </a:gs>
            <a:gs pos="50000">
              <a:srgbClr val="0070C0">
                <a:shade val="67500"/>
                <a:satMod val="115000"/>
              </a:srgbClr>
            </a:gs>
            <a:gs pos="100000">
              <a:srgbClr val="0070C0">
                <a:shade val="100000"/>
                <a:satMod val="115000"/>
              </a:srgbClr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n-lt"/>
            </a:rPr>
            <a:t>TIME MOTION</a:t>
          </a:r>
          <a:r>
            <a:rPr lang="en-US" sz="1400" b="1" baseline="0">
              <a:latin typeface="+mn-lt"/>
            </a:rPr>
            <a:t> STUDY</a:t>
          </a:r>
        </a:p>
      </xdr:txBody>
    </xdr:sp>
    <xdr:clientData/>
  </xdr:twoCellAnchor>
  <xdr:twoCellAnchor editAs="oneCell">
    <xdr:from>
      <xdr:col>10</xdr:col>
      <xdr:colOff>723900</xdr:colOff>
      <xdr:row>1</xdr:row>
      <xdr:rowOff>73660</xdr:rowOff>
    </xdr:from>
    <xdr:to>
      <xdr:col>11</xdr:col>
      <xdr:colOff>571911</xdr:colOff>
      <xdr:row>6</xdr:row>
      <xdr:rowOff>38100</xdr:rowOff>
    </xdr:to>
    <xdr:pic macro="[0]!endtime"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0" y="401320"/>
          <a:ext cx="604520" cy="7099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8</xdr:col>
      <xdr:colOff>641350</xdr:colOff>
      <xdr:row>4</xdr:row>
      <xdr:rowOff>38100</xdr:rowOff>
    </xdr:from>
    <xdr:to>
      <xdr:col>9</xdr:col>
      <xdr:colOff>742950</xdr:colOff>
      <xdr:row>5</xdr:row>
      <xdr:rowOff>133350</xdr:rowOff>
    </xdr:to>
    <xdr:sp macro="[0]!copyprodduration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054600" y="863600"/>
          <a:ext cx="819150" cy="260350"/>
        </a:xfrm>
        <a:prstGeom prst="rect">
          <a:avLst/>
        </a:prstGeom>
        <a:solidFill>
          <a:srgbClr val="0070C0"/>
        </a:solidFill>
        <a:ln w="28575" cmpd="dbl">
          <a:solidFill>
            <a:schemeClr val="bg1"/>
          </a:solidFill>
        </a:ln>
        <a:effectLst/>
        <a:scene3d>
          <a:camera prst="perspectiveFront"/>
          <a:lightRig rig="threeP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0">
              <a:solidFill>
                <a:schemeClr val="bg1"/>
              </a:solidFill>
            </a:rPr>
            <a:t>Copy</a:t>
          </a:r>
          <a:r>
            <a:rPr lang="en-IN" sz="1000" b="0" baseline="0">
              <a:solidFill>
                <a:schemeClr val="bg1"/>
              </a:solidFill>
            </a:rPr>
            <a:t> Pr-Dur</a:t>
          </a:r>
          <a:endParaRPr lang="en-IN" sz="1000" b="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4</xdr:col>
      <xdr:colOff>171803</xdr:colOff>
      <xdr:row>1</xdr:row>
      <xdr:rowOff>25400</xdr:rowOff>
    </xdr:from>
    <xdr:to>
      <xdr:col>5</xdr:col>
      <xdr:colOff>191135</xdr:colOff>
      <xdr:row>5</xdr:row>
      <xdr:rowOff>88900</xdr:rowOff>
    </xdr:to>
    <xdr:pic macro="[0]!Starttime">
      <xdr:nvPicPr>
        <xdr:cNvPr id="13" name="Picture 12" descr="Quick Timer Icon. Delivery Logo Stock Illustration - Illustration of  element, clock: 16477302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182" t="18348" r="17432" b="15597"/>
        <a:stretch/>
      </xdr:blipFill>
      <xdr:spPr bwMode="auto">
        <a:xfrm>
          <a:off x="2172053" y="355600"/>
          <a:ext cx="653697" cy="69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88900</xdr:colOff>
      <xdr:row>5</xdr:row>
      <xdr:rowOff>44450</xdr:rowOff>
    </xdr:from>
    <xdr:to>
      <xdr:col>5</xdr:col>
      <xdr:colOff>565150</xdr:colOff>
      <xdr:row>6</xdr:row>
      <xdr:rowOff>69850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895600" y="946150"/>
          <a:ext cx="1466850" cy="158750"/>
        </a:xfrm>
        <a:prstGeom prst="rect">
          <a:avLst/>
        </a:prstGeom>
        <a:solidFill>
          <a:schemeClr val="bg1"/>
        </a:solidFill>
        <a:ln w="28575" cmpd="dbl">
          <a:noFill/>
        </a:ln>
        <a:effectLst/>
        <a:scene3d>
          <a:camera prst="perspectiveFront"/>
          <a:lightRig rig="threeP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 i="1">
              <a:solidFill>
                <a:schemeClr val="tx1"/>
              </a:solidFill>
            </a:rPr>
            <a:t>Start</a:t>
          </a:r>
          <a:r>
            <a:rPr lang="en-IN" sz="1000" b="1" i="1" baseline="0">
              <a:solidFill>
                <a:schemeClr val="bg1"/>
              </a:solidFill>
            </a:rPr>
            <a:t> </a:t>
          </a:r>
          <a:r>
            <a:rPr lang="en-IN" sz="1000" b="1" i="1" baseline="0">
              <a:solidFill>
                <a:schemeClr val="tx1"/>
              </a:solidFill>
            </a:rPr>
            <a:t>time</a:t>
          </a:r>
          <a:endParaRPr lang="en-IN" sz="1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255270</xdr:colOff>
      <xdr:row>5</xdr:row>
      <xdr:rowOff>85090</xdr:rowOff>
    </xdr:from>
    <xdr:to>
      <xdr:col>11</xdr:col>
      <xdr:colOff>190500</xdr:colOff>
      <xdr:row>6</xdr:row>
      <xdr:rowOff>110490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7379970" y="1113790"/>
          <a:ext cx="1169670" cy="200660"/>
        </a:xfrm>
        <a:prstGeom prst="rect">
          <a:avLst/>
        </a:prstGeom>
        <a:solidFill>
          <a:schemeClr val="bg1"/>
        </a:solidFill>
        <a:ln w="28575" cmpd="dbl">
          <a:noFill/>
        </a:ln>
        <a:effectLst/>
        <a:scene3d>
          <a:camera prst="perspectiveFront"/>
          <a:lightRig rig="threeP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 i="1" baseline="0">
              <a:solidFill>
                <a:schemeClr val="tx1"/>
              </a:solidFill>
            </a:rPr>
            <a:t>End</a:t>
          </a:r>
          <a:r>
            <a:rPr lang="en-IN" sz="1000" b="1" i="1" baseline="0">
              <a:solidFill>
                <a:schemeClr val="bg1"/>
              </a:solidFill>
            </a:rPr>
            <a:t> </a:t>
          </a:r>
          <a:r>
            <a:rPr lang="en-IN" sz="1000" b="1" i="1" baseline="0">
              <a:solidFill>
                <a:schemeClr val="tx1"/>
              </a:solidFill>
            </a:rPr>
            <a:t>time</a:t>
          </a:r>
          <a:endParaRPr lang="en-IN" sz="1000" b="1" i="1">
            <a:solidFill>
              <a:schemeClr val="tx1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</xdr:colOff>
          <xdr:row>4</xdr:row>
          <xdr:rowOff>50800</xdr:rowOff>
        </xdr:from>
        <xdr:to>
          <xdr:col>6</xdr:col>
          <xdr:colOff>952500</xdr:colOff>
          <xdr:row>6</xdr:row>
          <xdr:rowOff>19050</xdr:rowOff>
        </xdr:to>
        <xdr:sp macro="" textlink="">
          <xdr:nvSpPr>
            <xdr:cNvPr id="1025" name="Command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247650</xdr:colOff>
          <xdr:row>4</xdr:row>
          <xdr:rowOff>31750</xdr:rowOff>
        </xdr:from>
        <xdr:to>
          <xdr:col>9</xdr:col>
          <xdr:colOff>311150</xdr:colOff>
          <xdr:row>6</xdr:row>
          <xdr:rowOff>12700</xdr:rowOff>
        </xdr:to>
        <xdr:sp macro="" textlink="">
          <xdr:nvSpPr>
            <xdr:cNvPr id="1026" name="Command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</xdr:row>
          <xdr:rowOff>31750</xdr:rowOff>
        </xdr:from>
        <xdr:to>
          <xdr:col>11</xdr:col>
          <xdr:colOff>222250</xdr:colOff>
          <xdr:row>6</xdr:row>
          <xdr:rowOff>0</xdr:rowOff>
        </xdr:to>
        <xdr:sp macro="" textlink="">
          <xdr:nvSpPr>
            <xdr:cNvPr id="1027" name="Command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RamkiV/AppData/Local/Microsoft/Windows/INetCache/Content.Outlook/HIPC015K/NYU%20-%20Credit%20Balance%20-%20TMS%20Template%20-Correspondence%20-%20071425.xlsm" TargetMode="External"/><Relationship Id="rId1" Type="http://schemas.openxmlformats.org/officeDocument/2006/relationships/externalLinkPath" Target="/Users/RamkiV/AppData/Local/Microsoft/Windows/INetCache/Content.Outlook/HIPC015K/NYU%20-%20Credit%20Balance%20-%20TMS%20Template%20-Correspondence%20-%20071425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megahms365-my.sharepoint.com/personal/saady_omegahms_com/Documents/Microsoft%20Teams%20Chat%20Files/Copy%20of%20NYU%20-%20Retro%20edits%20-%20TMS%207.24%20(Time%20study)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RamkiV/Desktop/NYU%20TMS/NYU%20-%20Retro%20edits%20-%20TMS%200722.xlsm" TargetMode="External"/><Relationship Id="rId1" Type="http://schemas.openxmlformats.org/officeDocument/2006/relationships/externalLinkPath" Target="/Users/RamkiV/Desktop/NYU%20TMS/NYU%20-%20Retro%20edits%20-%20TMS%200722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megahms365-my.sharepoint.com/personal/saady_omegahms_com/Documents/Microsoft%20Teams%20Chat%20Files/NYU%20-%20Retro%20edits%20-%20TMS%20Consolida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ist."/>
      <sheetName val="NYU - CB TMS "/>
      <sheetName val="List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.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ist.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.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1048576"/>
  <sheetViews>
    <sheetView showGridLines="0" tabSelected="1" zoomScaleNormal="100" workbookViewId="0">
      <pane ySplit="8" topLeftCell="A9" activePane="bottomLeft" state="frozen"/>
      <selection activeCell="E1" sqref="E1"/>
      <selection pane="bottomLeft" activeCell="K49" sqref="K49"/>
    </sheetView>
  </sheetViews>
  <sheetFormatPr defaultColWidth="8.81640625" defaultRowHeight="10.5" x14ac:dyDescent="0.25"/>
  <cols>
    <col min="1" max="1" width="4" style="6" customWidth="1"/>
    <col min="2" max="2" width="6.81640625" style="28" bestFit="1" customWidth="1"/>
    <col min="3" max="3" width="9.54296875" style="16" bestFit="1" customWidth="1"/>
    <col min="4" max="4" width="7.36328125" style="16" bestFit="1" customWidth="1"/>
    <col min="5" max="5" width="8.6328125" style="16" bestFit="1" customWidth="1"/>
    <col min="6" max="6" width="10" style="16" bestFit="1" customWidth="1"/>
    <col min="7" max="7" width="50.54296875" style="11" bestFit="1" customWidth="1"/>
    <col min="8" max="8" width="6.90625" style="17" bestFit="1" customWidth="1"/>
    <col min="9" max="9" width="6.1796875" style="18" bestFit="1" customWidth="1"/>
    <col min="10" max="10" width="9.7265625" style="16" bestFit="1" customWidth="1"/>
    <col min="11" max="11" width="11" style="26" bestFit="1" customWidth="1"/>
    <col min="12" max="12" width="10.1796875" style="26" bestFit="1" customWidth="1"/>
    <col min="13" max="13" width="8.08984375" style="15" bestFit="1" customWidth="1"/>
    <col min="14" max="14" width="9" style="15" bestFit="1" customWidth="1"/>
    <col min="15" max="15" width="10.1796875" style="6" bestFit="1" customWidth="1"/>
    <col min="16" max="16" width="25.54296875" style="6" bestFit="1" customWidth="1"/>
    <col min="17" max="16384" width="8.81640625" style="6"/>
  </cols>
  <sheetData>
    <row r="1" spans="2:16" ht="26.15" customHeight="1" x14ac:dyDescent="0.25">
      <c r="B1" s="27"/>
      <c r="C1" s="1"/>
      <c r="D1" s="1"/>
      <c r="E1" s="1"/>
      <c r="F1" s="1"/>
      <c r="G1" s="2"/>
      <c r="H1" s="2"/>
      <c r="I1" s="3"/>
      <c r="J1" s="1"/>
      <c r="K1" s="29"/>
      <c r="L1" s="4"/>
      <c r="M1" s="5"/>
      <c r="N1" s="5"/>
    </row>
    <row r="2" spans="2:16" x14ac:dyDescent="0.25">
      <c r="B2" s="27"/>
      <c r="C2" s="1"/>
      <c r="D2" s="1"/>
      <c r="E2" s="1"/>
      <c r="F2" s="1"/>
      <c r="G2" s="2"/>
      <c r="H2" s="2">
        <v>0</v>
      </c>
      <c r="I2" s="7">
        <v>3.2056712962962963E-3</v>
      </c>
      <c r="J2" s="1"/>
      <c r="K2" s="29"/>
      <c r="L2" s="4"/>
      <c r="M2" s="5"/>
      <c r="N2" s="5"/>
    </row>
    <row r="3" spans="2:16" ht="12" x14ac:dyDescent="0.3">
      <c r="B3" s="27"/>
      <c r="C3" s="1"/>
      <c r="D3" s="1"/>
      <c r="E3" s="1"/>
      <c r="F3" s="1"/>
      <c r="G3" s="2"/>
      <c r="H3" s="2"/>
      <c r="I3" s="3"/>
      <c r="J3" s="8">
        <v>44519.808074074077</v>
      </c>
      <c r="K3" s="29"/>
      <c r="L3" s="8">
        <v>44519.811952199074</v>
      </c>
      <c r="M3" s="5"/>
      <c r="N3" s="5"/>
      <c r="O3" s="19"/>
      <c r="P3" s="16"/>
    </row>
    <row r="4" spans="2:16" ht="12" x14ac:dyDescent="0.3">
      <c r="B4" s="27"/>
      <c r="C4" s="1"/>
      <c r="D4" s="1"/>
      <c r="E4" s="1"/>
      <c r="F4" s="1"/>
      <c r="G4" s="2"/>
      <c r="H4" s="2"/>
      <c r="I4" s="3">
        <v>44519.808017361109</v>
      </c>
      <c r="J4" s="8">
        <v>44519.80939490741</v>
      </c>
      <c r="K4" s="29"/>
      <c r="L4" s="4"/>
      <c r="M4" s="5"/>
      <c r="N4" s="5"/>
      <c r="O4" s="19"/>
      <c r="P4" s="16"/>
    </row>
    <row r="5" spans="2:16" x14ac:dyDescent="0.25">
      <c r="B5" s="27"/>
      <c r="C5" s="1"/>
      <c r="D5" s="1"/>
      <c r="E5" s="1"/>
      <c r="F5" s="1"/>
      <c r="G5" s="2"/>
      <c r="H5" s="2"/>
      <c r="I5" s="3"/>
      <c r="J5" s="9"/>
      <c r="K5" s="30"/>
      <c r="L5" s="8">
        <v>44519.806386921293</v>
      </c>
      <c r="M5" s="5"/>
      <c r="N5" s="5"/>
      <c r="O5" s="5"/>
      <c r="P5" s="16"/>
    </row>
    <row r="6" spans="2:16" x14ac:dyDescent="0.25">
      <c r="B6" s="27"/>
      <c r="C6" s="8">
        <v>44519.809167939813</v>
      </c>
      <c r="D6" s="1"/>
      <c r="E6" s="1"/>
      <c r="F6" s="1"/>
      <c r="G6" s="2"/>
      <c r="H6" s="2"/>
      <c r="I6" s="3"/>
      <c r="J6" s="8"/>
      <c r="K6" s="31"/>
      <c r="L6" s="10"/>
      <c r="M6" s="5"/>
      <c r="N6" s="5"/>
      <c r="P6" s="16"/>
    </row>
    <row r="7" spans="2:16" x14ac:dyDescent="0.25">
      <c r="B7" s="27"/>
      <c r="C7" s="1"/>
      <c r="D7" s="1"/>
      <c r="E7" s="1"/>
      <c r="F7" s="8"/>
      <c r="G7" s="2"/>
      <c r="H7" s="2"/>
      <c r="I7" s="3"/>
      <c r="J7" s="1"/>
      <c r="K7" s="29"/>
      <c r="L7" s="4"/>
      <c r="M7" s="5"/>
      <c r="N7" s="5"/>
      <c r="P7" s="16"/>
    </row>
    <row r="8" spans="2:16" ht="19.5" customHeight="1" x14ac:dyDescent="0.25">
      <c r="B8" s="38" t="s">
        <v>0</v>
      </c>
      <c r="C8" s="39" t="s">
        <v>1</v>
      </c>
      <c r="D8" s="39" t="s">
        <v>2</v>
      </c>
      <c r="E8" s="39" t="s">
        <v>3</v>
      </c>
      <c r="F8" s="39" t="s">
        <v>4</v>
      </c>
      <c r="G8" s="39" t="s">
        <v>5</v>
      </c>
      <c r="H8" s="40" t="s">
        <v>6</v>
      </c>
      <c r="I8" s="40" t="s">
        <v>7</v>
      </c>
      <c r="J8" s="39" t="s">
        <v>8</v>
      </c>
      <c r="K8" s="41" t="s">
        <v>9</v>
      </c>
      <c r="L8" s="42" t="s">
        <v>10</v>
      </c>
      <c r="M8" s="43" t="s">
        <v>11</v>
      </c>
      <c r="N8" s="43" t="s">
        <v>12</v>
      </c>
      <c r="O8" s="35" t="s">
        <v>13</v>
      </c>
      <c r="P8" s="52" t="s">
        <v>106</v>
      </c>
    </row>
    <row r="9" spans="2:16" x14ac:dyDescent="0.25">
      <c r="B9" s="12">
        <v>46252</v>
      </c>
      <c r="C9" s="13" t="s">
        <v>81</v>
      </c>
      <c r="D9" s="13" t="s">
        <v>82</v>
      </c>
      <c r="E9" s="13" t="s">
        <v>83</v>
      </c>
      <c r="F9" s="13" t="s">
        <v>84</v>
      </c>
      <c r="G9" s="13" t="s">
        <v>14</v>
      </c>
      <c r="H9" s="44">
        <v>0.83958333333333335</v>
      </c>
      <c r="I9" s="44">
        <v>0.84027777777777779</v>
      </c>
      <c r="J9" s="20">
        <f>I9-H9</f>
        <v>6.9444444444444198E-4</v>
      </c>
      <c r="K9" s="32" t="s">
        <v>15</v>
      </c>
      <c r="L9" s="25" t="str">
        <f>VLOOKUP(G9,Call!A1:B30,2,0)</f>
        <v>BVA</v>
      </c>
      <c r="M9" s="24" t="s">
        <v>16</v>
      </c>
      <c r="N9" s="24" t="s">
        <v>17</v>
      </c>
      <c r="O9" s="35" t="s">
        <v>18</v>
      </c>
      <c r="P9" s="50" t="s">
        <v>107</v>
      </c>
    </row>
    <row r="10" spans="2:16" x14ac:dyDescent="0.25">
      <c r="B10" s="12">
        <v>46252</v>
      </c>
      <c r="C10" s="13" t="s">
        <v>81</v>
      </c>
      <c r="D10" s="13" t="s">
        <v>82</v>
      </c>
      <c r="E10" s="13" t="s">
        <v>83</v>
      </c>
      <c r="F10" s="13" t="s">
        <v>84</v>
      </c>
      <c r="G10" s="13" t="s">
        <v>19</v>
      </c>
      <c r="H10" s="44">
        <v>0.84097222222222223</v>
      </c>
      <c r="I10" s="44">
        <v>0.84097222222222223</v>
      </c>
      <c r="J10" s="20">
        <f t="shared" ref="J10:J43" si="0">I10-H10</f>
        <v>0</v>
      </c>
      <c r="K10" s="32" t="s">
        <v>15</v>
      </c>
      <c r="L10" s="25" t="e">
        <f>VLOOKUP(G10,Call!A2:B31,2,0)</f>
        <v>#N/A</v>
      </c>
      <c r="M10" s="24" t="s">
        <v>16</v>
      </c>
      <c r="N10" s="24" t="s">
        <v>17</v>
      </c>
      <c r="O10" s="35" t="s">
        <v>18</v>
      </c>
      <c r="P10" s="50" t="s">
        <v>107</v>
      </c>
    </row>
    <row r="11" spans="2:16" x14ac:dyDescent="0.25">
      <c r="B11" s="12">
        <v>46252</v>
      </c>
      <c r="C11" s="13" t="s">
        <v>81</v>
      </c>
      <c r="D11" s="13" t="s">
        <v>82</v>
      </c>
      <c r="E11" s="13" t="s">
        <v>83</v>
      </c>
      <c r="F11" s="13" t="s">
        <v>84</v>
      </c>
      <c r="G11" s="13" t="s">
        <v>20</v>
      </c>
      <c r="H11" s="44">
        <v>0.84166666666666667</v>
      </c>
      <c r="I11" s="44">
        <v>46252.842366666664</v>
      </c>
      <c r="J11" s="20">
        <f t="shared" si="0"/>
        <v>46252.000699999997</v>
      </c>
      <c r="K11" s="32" t="s">
        <v>15</v>
      </c>
      <c r="L11" s="25" t="e">
        <f>VLOOKUP(G11,Call!A3:B32,2,0)</f>
        <v>#N/A</v>
      </c>
      <c r="M11" s="24" t="s">
        <v>16</v>
      </c>
      <c r="N11" s="24" t="s">
        <v>17</v>
      </c>
      <c r="O11" s="35" t="s">
        <v>18</v>
      </c>
      <c r="P11" s="50" t="s">
        <v>107</v>
      </c>
    </row>
    <row r="12" spans="2:16" x14ac:dyDescent="0.25">
      <c r="B12" s="12">
        <v>46252</v>
      </c>
      <c r="C12" s="13" t="s">
        <v>81</v>
      </c>
      <c r="D12" s="13" t="s">
        <v>82</v>
      </c>
      <c r="E12" s="13" t="s">
        <v>83</v>
      </c>
      <c r="F12" s="13" t="s">
        <v>84</v>
      </c>
      <c r="G12" s="13" t="s">
        <v>21</v>
      </c>
      <c r="H12" s="44">
        <v>46252.842679513888</v>
      </c>
      <c r="I12" s="44">
        <v>46252.842935185188</v>
      </c>
      <c r="J12" s="20">
        <f t="shared" si="0"/>
        <v>2.5567130069248378E-4</v>
      </c>
      <c r="K12" s="32" t="s">
        <v>15</v>
      </c>
      <c r="L12" s="25" t="e">
        <f>VLOOKUP(G12,Call!A4:B33,2,0)</f>
        <v>#N/A</v>
      </c>
      <c r="M12" s="24" t="s">
        <v>16</v>
      </c>
      <c r="N12" s="24" t="s">
        <v>17</v>
      </c>
      <c r="O12" s="35" t="s">
        <v>18</v>
      </c>
      <c r="P12" s="50" t="s">
        <v>107</v>
      </c>
    </row>
    <row r="13" spans="2:16" x14ac:dyDescent="0.25">
      <c r="B13" s="12">
        <v>46252</v>
      </c>
      <c r="C13" s="13" t="s">
        <v>81</v>
      </c>
      <c r="D13" s="13" t="s">
        <v>82</v>
      </c>
      <c r="E13" s="13" t="s">
        <v>83</v>
      </c>
      <c r="F13" s="13" t="s">
        <v>84</v>
      </c>
      <c r="G13" s="13" t="s">
        <v>42</v>
      </c>
      <c r="H13" s="44">
        <v>46252.843252314815</v>
      </c>
      <c r="I13" s="44">
        <v>46252.84440011574</v>
      </c>
      <c r="J13" s="20">
        <f t="shared" si="0"/>
        <v>1.1478009255370125E-3</v>
      </c>
      <c r="K13" s="32" t="s">
        <v>15</v>
      </c>
      <c r="L13" s="25" t="e">
        <f>VLOOKUP(G13,Call!A5:B34,2,0)</f>
        <v>#N/A</v>
      </c>
      <c r="M13" s="24" t="s">
        <v>16</v>
      </c>
      <c r="N13" s="24" t="s">
        <v>17</v>
      </c>
      <c r="O13" s="35" t="s">
        <v>18</v>
      </c>
      <c r="P13" s="50" t="s">
        <v>107</v>
      </c>
    </row>
    <row r="14" spans="2:16" x14ac:dyDescent="0.25">
      <c r="B14" s="12">
        <v>46252</v>
      </c>
      <c r="C14" s="13" t="s">
        <v>81</v>
      </c>
      <c r="D14" s="13" t="s">
        <v>82</v>
      </c>
      <c r="E14" s="13" t="s">
        <v>83</v>
      </c>
      <c r="F14" s="13" t="s">
        <v>84</v>
      </c>
      <c r="G14" s="13" t="s">
        <v>22</v>
      </c>
      <c r="H14" s="44">
        <v>46252.844741666668</v>
      </c>
      <c r="I14" s="44">
        <v>46252.845310879631</v>
      </c>
      <c r="J14" s="20">
        <f t="shared" si="0"/>
        <v>5.6921296345535666E-4</v>
      </c>
      <c r="K14" s="32" t="s">
        <v>15</v>
      </c>
      <c r="L14" s="25" t="e">
        <f>VLOOKUP(G14,Call!A6:B35,2,0)</f>
        <v>#N/A</v>
      </c>
      <c r="M14" s="24" t="s">
        <v>16</v>
      </c>
      <c r="N14" s="24" t="s">
        <v>17</v>
      </c>
      <c r="O14" s="35" t="s">
        <v>18</v>
      </c>
      <c r="P14" s="50" t="s">
        <v>107</v>
      </c>
    </row>
    <row r="15" spans="2:16" x14ac:dyDescent="0.25">
      <c r="B15" s="12">
        <v>46252</v>
      </c>
      <c r="C15" s="13" t="s">
        <v>81</v>
      </c>
      <c r="D15" s="13" t="s">
        <v>82</v>
      </c>
      <c r="E15" s="13" t="s">
        <v>83</v>
      </c>
      <c r="F15" s="13" t="s">
        <v>84</v>
      </c>
      <c r="G15" s="13" t="s">
        <v>43</v>
      </c>
      <c r="H15" s="44">
        <v>46252.845560995367</v>
      </c>
      <c r="I15" s="44">
        <v>46252.845742361111</v>
      </c>
      <c r="J15" s="20">
        <f t="shared" si="0"/>
        <v>1.8136574362870306E-4</v>
      </c>
      <c r="K15" s="32" t="s">
        <v>15</v>
      </c>
      <c r="L15" s="25" t="e">
        <f>VLOOKUP(G15,Call!A7:B36,2,0)</f>
        <v>#N/A</v>
      </c>
      <c r="M15" s="24" t="s">
        <v>16</v>
      </c>
      <c r="N15" s="24" t="s">
        <v>17</v>
      </c>
      <c r="O15" s="35" t="s">
        <v>18</v>
      </c>
      <c r="P15" s="50" t="s">
        <v>107</v>
      </c>
    </row>
    <row r="16" spans="2:16" x14ac:dyDescent="0.25">
      <c r="B16" s="12">
        <v>46252</v>
      </c>
      <c r="C16" s="13" t="s">
        <v>81</v>
      </c>
      <c r="D16" s="13" t="s">
        <v>82</v>
      </c>
      <c r="E16" s="13" t="s">
        <v>83</v>
      </c>
      <c r="F16" s="13" t="s">
        <v>84</v>
      </c>
      <c r="G16" s="13" t="s">
        <v>23</v>
      </c>
      <c r="H16" s="44">
        <v>46252.845921990738</v>
      </c>
      <c r="I16" s="44">
        <v>46252.846755092593</v>
      </c>
      <c r="J16" s="20">
        <f t="shared" si="0"/>
        <v>8.3310185436857864E-4</v>
      </c>
      <c r="K16" s="32" t="s">
        <v>15</v>
      </c>
      <c r="L16" s="25" t="e">
        <f>VLOOKUP(G16,Call!A8:B37,2,0)</f>
        <v>#N/A</v>
      </c>
      <c r="M16" s="24" t="s">
        <v>16</v>
      </c>
      <c r="N16" s="24" t="s">
        <v>17</v>
      </c>
      <c r="O16" s="35" t="s">
        <v>18</v>
      </c>
      <c r="P16" s="50" t="s">
        <v>107</v>
      </c>
    </row>
    <row r="17" spans="2:16" x14ac:dyDescent="0.25">
      <c r="B17" s="12">
        <v>46252</v>
      </c>
      <c r="C17" s="13" t="s">
        <v>81</v>
      </c>
      <c r="D17" s="13" t="s">
        <v>82</v>
      </c>
      <c r="E17" s="13" t="s">
        <v>83</v>
      </c>
      <c r="F17" s="13" t="s">
        <v>84</v>
      </c>
      <c r="G17" s="13" t="s">
        <v>24</v>
      </c>
      <c r="H17" s="44">
        <v>46252.847061574073</v>
      </c>
      <c r="I17" s="44">
        <v>46252.84736550926</v>
      </c>
      <c r="J17" s="20">
        <f t="shared" si="0"/>
        <v>3.0393518682103604E-4</v>
      </c>
      <c r="K17" s="32" t="s">
        <v>15</v>
      </c>
      <c r="L17" s="25" t="e">
        <f>VLOOKUP(G17,Call!A9:B38,2,0)</f>
        <v>#N/A</v>
      </c>
      <c r="M17" s="24" t="s">
        <v>16</v>
      </c>
      <c r="N17" s="24" t="s">
        <v>17</v>
      </c>
      <c r="O17" s="35" t="s">
        <v>18</v>
      </c>
      <c r="P17" s="50" t="s">
        <v>107</v>
      </c>
    </row>
    <row r="18" spans="2:16" x14ac:dyDescent="0.25">
      <c r="B18" s="12">
        <v>46252</v>
      </c>
      <c r="C18" s="13" t="s">
        <v>81</v>
      </c>
      <c r="D18" s="13" t="s">
        <v>82</v>
      </c>
      <c r="E18" s="13" t="s">
        <v>83</v>
      </c>
      <c r="F18" s="13" t="s">
        <v>84</v>
      </c>
      <c r="G18" s="13" t="s">
        <v>25</v>
      </c>
      <c r="H18" s="44">
        <v>46252.848694560184</v>
      </c>
      <c r="I18" s="44">
        <v>46252.848987152778</v>
      </c>
      <c r="J18" s="20">
        <f t="shared" si="0"/>
        <v>2.925925946328789E-4</v>
      </c>
      <c r="K18" s="32" t="s">
        <v>15</v>
      </c>
      <c r="L18" s="25" t="e">
        <f>VLOOKUP(G18,Call!A10:B39,2,0)</f>
        <v>#N/A</v>
      </c>
      <c r="M18" s="24" t="s">
        <v>16</v>
      </c>
      <c r="N18" s="24" t="s">
        <v>17</v>
      </c>
      <c r="O18" s="35" t="s">
        <v>18</v>
      </c>
      <c r="P18" s="50" t="s">
        <v>107</v>
      </c>
    </row>
    <row r="19" spans="2:16" x14ac:dyDescent="0.25">
      <c r="B19" s="12">
        <v>46252</v>
      </c>
      <c r="C19" s="13" t="s">
        <v>81</v>
      </c>
      <c r="D19" s="13" t="s">
        <v>82</v>
      </c>
      <c r="E19" s="13" t="s">
        <v>83</v>
      </c>
      <c r="F19" s="13" t="s">
        <v>84</v>
      </c>
      <c r="G19" s="13" t="s">
        <v>26</v>
      </c>
      <c r="H19" s="44">
        <v>46252.849409374998</v>
      </c>
      <c r="I19" s="44">
        <v>46252.849647222225</v>
      </c>
      <c r="J19" s="20">
        <f t="shared" si="0"/>
        <v>2.3784722725395113E-4</v>
      </c>
      <c r="K19" s="32" t="s">
        <v>15</v>
      </c>
      <c r="L19" s="25" t="e">
        <f>VLOOKUP(G19,Call!A11:B40,2,0)</f>
        <v>#N/A</v>
      </c>
      <c r="M19" s="24" t="s">
        <v>16</v>
      </c>
      <c r="N19" s="24" t="s">
        <v>17</v>
      </c>
      <c r="O19" s="35" t="s">
        <v>18</v>
      </c>
      <c r="P19" s="50" t="s">
        <v>107</v>
      </c>
    </row>
    <row r="20" spans="2:16" x14ac:dyDescent="0.25">
      <c r="B20" s="12">
        <v>46252</v>
      </c>
      <c r="C20" s="13" t="s">
        <v>81</v>
      </c>
      <c r="D20" s="13" t="s">
        <v>82</v>
      </c>
      <c r="E20" s="13" t="s">
        <v>83</v>
      </c>
      <c r="F20" s="13" t="s">
        <v>84</v>
      </c>
      <c r="G20" s="35" t="s">
        <v>85</v>
      </c>
      <c r="H20" s="44">
        <v>46252.849980439816</v>
      </c>
      <c r="I20" s="44">
        <v>46252.851248148145</v>
      </c>
      <c r="J20" s="20">
        <f t="shared" si="0"/>
        <v>1.2677083286689594E-3</v>
      </c>
      <c r="K20" s="32" t="s">
        <v>15</v>
      </c>
      <c r="L20" s="25" t="str">
        <f>VLOOKUP(G20,Call!A12:B41,2,0)</f>
        <v>VA</v>
      </c>
      <c r="M20" s="24" t="s">
        <v>16</v>
      </c>
      <c r="N20" s="24" t="s">
        <v>17</v>
      </c>
      <c r="O20" s="35" t="s">
        <v>18</v>
      </c>
      <c r="P20" s="50" t="s">
        <v>107</v>
      </c>
    </row>
    <row r="21" spans="2:16" x14ac:dyDescent="0.25">
      <c r="B21" s="12">
        <v>46252</v>
      </c>
      <c r="C21" s="13" t="s">
        <v>81</v>
      </c>
      <c r="D21" s="13" t="s">
        <v>82</v>
      </c>
      <c r="E21" s="13" t="s">
        <v>83</v>
      </c>
      <c r="F21" s="13" t="s">
        <v>84</v>
      </c>
      <c r="G21" s="45" t="s">
        <v>86</v>
      </c>
      <c r="H21" s="46">
        <v>46252.85145671296</v>
      </c>
      <c r="I21" s="46">
        <v>46252.854464583332</v>
      </c>
      <c r="J21" s="20">
        <f t="shared" si="0"/>
        <v>3.0078703712206334E-3</v>
      </c>
      <c r="K21" s="32" t="s">
        <v>15</v>
      </c>
      <c r="L21" s="25" t="str">
        <f>VLOOKUP(G21,Call!A13:B42,2,0)</f>
        <v>VA</v>
      </c>
      <c r="M21" s="24" t="s">
        <v>16</v>
      </c>
      <c r="N21" s="24" t="s">
        <v>17</v>
      </c>
      <c r="O21" s="35" t="s">
        <v>18</v>
      </c>
      <c r="P21" s="50" t="s">
        <v>107</v>
      </c>
    </row>
    <row r="22" spans="2:16" x14ac:dyDescent="0.25">
      <c r="B22" s="12">
        <v>46252</v>
      </c>
      <c r="C22" s="13" t="s">
        <v>81</v>
      </c>
      <c r="D22" s="13" t="s">
        <v>82</v>
      </c>
      <c r="E22" s="13" t="s">
        <v>83</v>
      </c>
      <c r="F22" s="13" t="s">
        <v>84</v>
      </c>
      <c r="G22" s="35" t="s">
        <v>87</v>
      </c>
      <c r="H22" s="46">
        <v>46252.854541782406</v>
      </c>
      <c r="I22" s="46">
        <v>46252.860314814818</v>
      </c>
      <c r="J22" s="20">
        <f t="shared" si="0"/>
        <v>5.7730324115254916E-3</v>
      </c>
      <c r="K22" s="32" t="s">
        <v>15</v>
      </c>
      <c r="L22" s="25" t="str">
        <f>VLOOKUP(G22,Call!A14:B43,2,0)</f>
        <v>NVA</v>
      </c>
      <c r="M22" s="24" t="s">
        <v>16</v>
      </c>
      <c r="N22" s="24" t="s">
        <v>17</v>
      </c>
      <c r="O22" s="35" t="s">
        <v>18</v>
      </c>
      <c r="P22" s="50" t="s">
        <v>107</v>
      </c>
    </row>
    <row r="23" spans="2:16" s="16" customFormat="1" x14ac:dyDescent="0.25">
      <c r="B23" s="12">
        <v>46252</v>
      </c>
      <c r="C23" s="13" t="s">
        <v>81</v>
      </c>
      <c r="D23" s="13" t="s">
        <v>82</v>
      </c>
      <c r="E23" s="13" t="s">
        <v>83</v>
      </c>
      <c r="F23" s="13" t="s">
        <v>84</v>
      </c>
      <c r="G23" s="36" t="s">
        <v>27</v>
      </c>
      <c r="H23" s="46">
        <v>46252.861031365741</v>
      </c>
      <c r="I23" s="46">
        <v>46252.861225462962</v>
      </c>
      <c r="J23" s="20">
        <f t="shared" si="0"/>
        <v>1.9409722153795883E-4</v>
      </c>
      <c r="K23" s="32" t="s">
        <v>15</v>
      </c>
      <c r="L23" s="25" t="str">
        <f>VLOOKUP(G23,Call!A15:B44,2,0)</f>
        <v>VA</v>
      </c>
      <c r="M23" s="24" t="s">
        <v>16</v>
      </c>
      <c r="N23" s="24" t="s">
        <v>17</v>
      </c>
      <c r="O23" s="35" t="s">
        <v>18</v>
      </c>
      <c r="P23" s="50" t="s">
        <v>107</v>
      </c>
    </row>
    <row r="24" spans="2:16" s="16" customFormat="1" x14ac:dyDescent="0.25">
      <c r="B24" s="12">
        <v>46252</v>
      </c>
      <c r="C24" s="13" t="s">
        <v>81</v>
      </c>
      <c r="D24" s="13" t="s">
        <v>82</v>
      </c>
      <c r="E24" s="13" t="s">
        <v>83</v>
      </c>
      <c r="F24" s="13" t="s">
        <v>84</v>
      </c>
      <c r="G24" s="45" t="s">
        <v>30</v>
      </c>
      <c r="H24" s="46">
        <v>46252.861557870368</v>
      </c>
      <c r="I24" s="46">
        <v>46252.86242662037</v>
      </c>
      <c r="J24" s="20">
        <f t="shared" si="0"/>
        <v>8.6875000124564394E-4</v>
      </c>
      <c r="K24" s="32" t="s">
        <v>15</v>
      </c>
      <c r="L24" s="25" t="str">
        <f>VLOOKUP(G24,Call!A16:B45,2,0)</f>
        <v>VA</v>
      </c>
      <c r="M24" s="24" t="s">
        <v>16</v>
      </c>
      <c r="N24" s="24" t="s">
        <v>17</v>
      </c>
      <c r="O24" s="35" t="s">
        <v>18</v>
      </c>
      <c r="P24" s="50" t="s">
        <v>107</v>
      </c>
    </row>
    <row r="25" spans="2:16" s="16" customFormat="1" x14ac:dyDescent="0.25">
      <c r="B25" s="12">
        <v>46252</v>
      </c>
      <c r="C25" s="13" t="s">
        <v>81</v>
      </c>
      <c r="D25" s="13" t="s">
        <v>82</v>
      </c>
      <c r="E25" s="13" t="s">
        <v>83</v>
      </c>
      <c r="F25" s="13" t="s">
        <v>84</v>
      </c>
      <c r="G25" s="45" t="s">
        <v>45</v>
      </c>
      <c r="H25" s="46">
        <v>46252.862957407408</v>
      </c>
      <c r="I25" s="46">
        <v>46252.863434027779</v>
      </c>
      <c r="J25" s="20">
        <f t="shared" si="0"/>
        <v>4.766203710460104E-4</v>
      </c>
      <c r="K25" s="32" t="s">
        <v>15</v>
      </c>
      <c r="L25" s="25" t="str">
        <f>VLOOKUP(G25,Call!A17:B46,2,0)</f>
        <v>VA</v>
      </c>
      <c r="M25" s="24" t="s">
        <v>16</v>
      </c>
      <c r="N25" s="24" t="s">
        <v>17</v>
      </c>
      <c r="O25" s="35" t="s">
        <v>18</v>
      </c>
      <c r="P25" s="50" t="s">
        <v>107</v>
      </c>
    </row>
    <row r="26" spans="2:16" s="16" customFormat="1" x14ac:dyDescent="0.25">
      <c r="B26" s="12">
        <v>46252</v>
      </c>
      <c r="C26" s="13" t="s">
        <v>81</v>
      </c>
      <c r="D26" s="13" t="s">
        <v>82</v>
      </c>
      <c r="E26" s="13" t="s">
        <v>83</v>
      </c>
      <c r="F26" s="13" t="s">
        <v>84</v>
      </c>
      <c r="G26" s="45" t="s">
        <v>31</v>
      </c>
      <c r="H26" s="46">
        <v>46252.863719675923</v>
      </c>
      <c r="I26" s="46">
        <v>46252.864100231483</v>
      </c>
      <c r="J26" s="20">
        <f t="shared" si="0"/>
        <v>3.8055556069593877E-4</v>
      </c>
      <c r="K26" s="32" t="s">
        <v>15</v>
      </c>
      <c r="L26" s="25" t="str">
        <f>VLOOKUP(G26,Call!A18:B47,2,0)</f>
        <v>VA</v>
      </c>
      <c r="M26" s="24" t="s">
        <v>16</v>
      </c>
      <c r="N26" s="24" t="s">
        <v>17</v>
      </c>
      <c r="O26" s="35" t="s">
        <v>18</v>
      </c>
      <c r="P26" s="50" t="s">
        <v>107</v>
      </c>
    </row>
    <row r="27" spans="2:16" s="16" customFormat="1" x14ac:dyDescent="0.25">
      <c r="B27" s="12">
        <v>46252</v>
      </c>
      <c r="C27" s="13" t="s">
        <v>81</v>
      </c>
      <c r="D27" s="13" t="s">
        <v>82</v>
      </c>
      <c r="E27" s="13" t="s">
        <v>83</v>
      </c>
      <c r="F27" s="13" t="s">
        <v>84</v>
      </c>
      <c r="G27" s="45" t="s">
        <v>102</v>
      </c>
      <c r="H27" s="46">
        <v>46252.864399305552</v>
      </c>
      <c r="I27" s="46">
        <v>46252.864628356481</v>
      </c>
      <c r="J27" s="20">
        <f t="shared" si="0"/>
        <v>2.2905092919245362E-4</v>
      </c>
      <c r="K27" s="32" t="s">
        <v>15</v>
      </c>
      <c r="L27" s="25" t="str">
        <f>VLOOKUP(G27,Call!A19:B48,2,0)</f>
        <v>VA</v>
      </c>
      <c r="M27" s="24" t="s">
        <v>16</v>
      </c>
      <c r="N27" s="24" t="s">
        <v>17</v>
      </c>
      <c r="O27" s="35" t="s">
        <v>18</v>
      </c>
      <c r="P27" s="50" t="s">
        <v>107</v>
      </c>
    </row>
    <row r="28" spans="2:16" s="16" customFormat="1" x14ac:dyDescent="0.25">
      <c r="B28" s="34">
        <v>46252</v>
      </c>
      <c r="C28" s="13" t="s">
        <v>103</v>
      </c>
      <c r="D28" s="13" t="s">
        <v>82</v>
      </c>
      <c r="E28" s="13" t="s">
        <v>104</v>
      </c>
      <c r="F28" s="13" t="s">
        <v>105</v>
      </c>
      <c r="G28" s="36" t="s">
        <v>14</v>
      </c>
      <c r="H28" s="46">
        <v>46252.869892708331</v>
      </c>
      <c r="I28" s="46">
        <v>46252.870184259256</v>
      </c>
      <c r="J28" s="20">
        <f t="shared" si="0"/>
        <v>2.9155092488508672E-4</v>
      </c>
      <c r="K28" s="32" t="s">
        <v>15</v>
      </c>
      <c r="L28" s="25" t="e">
        <f>VLOOKUP(G28,Call!A20:B49,2,0)</f>
        <v>#N/A</v>
      </c>
      <c r="M28" s="24" t="s">
        <v>16</v>
      </c>
      <c r="N28" s="24" t="s">
        <v>38</v>
      </c>
      <c r="O28" s="35" t="s">
        <v>18</v>
      </c>
      <c r="P28" s="51" t="s">
        <v>108</v>
      </c>
    </row>
    <row r="29" spans="2:16" s="16" customFormat="1" x14ac:dyDescent="0.25">
      <c r="B29" s="34">
        <v>46252</v>
      </c>
      <c r="C29" s="13" t="s">
        <v>103</v>
      </c>
      <c r="D29" s="13" t="s">
        <v>82</v>
      </c>
      <c r="E29" s="13" t="s">
        <v>104</v>
      </c>
      <c r="F29" s="13" t="s">
        <v>105</v>
      </c>
      <c r="G29" s="13" t="s">
        <v>88</v>
      </c>
      <c r="H29" s="46">
        <v>46252.870412152777</v>
      </c>
      <c r="I29" s="46">
        <v>46252.870887500001</v>
      </c>
      <c r="J29" s="20">
        <f t="shared" si="0"/>
        <v>4.7534722398268059E-4</v>
      </c>
      <c r="K29" s="32" t="s">
        <v>15</v>
      </c>
      <c r="L29" s="25" t="e">
        <f>VLOOKUP(G29,Call!A21:B50,2,0)</f>
        <v>#N/A</v>
      </c>
      <c r="M29" s="24" t="s">
        <v>16</v>
      </c>
      <c r="N29" s="24" t="s">
        <v>38</v>
      </c>
      <c r="O29" s="35" t="s">
        <v>18</v>
      </c>
      <c r="P29" s="51" t="s">
        <v>108</v>
      </c>
    </row>
    <row r="30" spans="2:16" s="16" customFormat="1" x14ac:dyDescent="0.25">
      <c r="B30" s="34">
        <v>46252</v>
      </c>
      <c r="C30" s="13" t="s">
        <v>103</v>
      </c>
      <c r="D30" s="13" t="s">
        <v>82</v>
      </c>
      <c r="E30" s="13" t="s">
        <v>104</v>
      </c>
      <c r="F30" s="13" t="s">
        <v>105</v>
      </c>
      <c r="G30" s="13" t="s">
        <v>20</v>
      </c>
      <c r="H30" s="46">
        <v>46252.871150462961</v>
      </c>
      <c r="I30" s="46">
        <v>46252.871352314818</v>
      </c>
      <c r="J30" s="20">
        <f t="shared" si="0"/>
        <v>2.0185185712762177E-4</v>
      </c>
      <c r="K30" s="32" t="s">
        <v>15</v>
      </c>
      <c r="L30" s="25" t="e">
        <f>VLOOKUP(G30,Call!A22:B51,2,0)</f>
        <v>#N/A</v>
      </c>
      <c r="M30" s="24" t="s">
        <v>16</v>
      </c>
      <c r="N30" s="24" t="s">
        <v>38</v>
      </c>
      <c r="O30" s="35" t="s">
        <v>18</v>
      </c>
      <c r="P30" s="51" t="s">
        <v>108</v>
      </c>
    </row>
    <row r="31" spans="2:16" s="16" customFormat="1" x14ac:dyDescent="0.25">
      <c r="B31" s="34">
        <v>46252</v>
      </c>
      <c r="C31" s="13" t="s">
        <v>103</v>
      </c>
      <c r="D31" s="13" t="s">
        <v>82</v>
      </c>
      <c r="E31" s="13" t="s">
        <v>104</v>
      </c>
      <c r="F31" s="13" t="s">
        <v>105</v>
      </c>
      <c r="G31" s="13" t="s">
        <v>91</v>
      </c>
      <c r="H31" s="46">
        <v>46252.87189490741</v>
      </c>
      <c r="I31" s="46">
        <v>46252.872293287037</v>
      </c>
      <c r="J31" s="20">
        <f t="shared" si="0"/>
        <v>3.983796268585138E-4</v>
      </c>
      <c r="K31" s="32" t="s">
        <v>15</v>
      </c>
      <c r="L31" s="25" t="e">
        <f>VLOOKUP(G31,Call!A23:B52,2,0)</f>
        <v>#N/A</v>
      </c>
      <c r="M31" s="24" t="s">
        <v>16</v>
      </c>
      <c r="N31" s="24" t="s">
        <v>38</v>
      </c>
      <c r="O31" s="35" t="s">
        <v>18</v>
      </c>
      <c r="P31" s="51" t="s">
        <v>108</v>
      </c>
    </row>
    <row r="32" spans="2:16" s="16" customFormat="1" x14ac:dyDescent="0.25">
      <c r="B32" s="34">
        <v>46252</v>
      </c>
      <c r="C32" s="13" t="s">
        <v>103</v>
      </c>
      <c r="D32" s="13" t="s">
        <v>82</v>
      </c>
      <c r="E32" s="13" t="s">
        <v>104</v>
      </c>
      <c r="F32" s="13" t="s">
        <v>105</v>
      </c>
      <c r="G32" s="35" t="s">
        <v>90</v>
      </c>
      <c r="H32" s="46">
        <v>46252.87240266204</v>
      </c>
      <c r="I32" s="46">
        <v>46252.873000115738</v>
      </c>
      <c r="J32" s="20">
        <f t="shared" si="0"/>
        <v>5.9745369799202308E-4</v>
      </c>
      <c r="K32" s="32" t="s">
        <v>15</v>
      </c>
      <c r="L32" s="25" t="e">
        <f>VLOOKUP(G32,Call!A24:B53,2,0)</f>
        <v>#N/A</v>
      </c>
      <c r="M32" s="24" t="s">
        <v>16</v>
      </c>
      <c r="N32" s="24" t="s">
        <v>38</v>
      </c>
      <c r="O32" s="35" t="s">
        <v>18</v>
      </c>
      <c r="P32" s="51" t="s">
        <v>108</v>
      </c>
    </row>
    <row r="33" spans="2:16" s="16" customFormat="1" x14ac:dyDescent="0.25">
      <c r="B33" s="34">
        <v>46252</v>
      </c>
      <c r="C33" s="13" t="s">
        <v>103</v>
      </c>
      <c r="D33" s="13" t="s">
        <v>82</v>
      </c>
      <c r="E33" s="13" t="s">
        <v>104</v>
      </c>
      <c r="F33" s="13" t="s">
        <v>105</v>
      </c>
      <c r="G33" s="35" t="s">
        <v>93</v>
      </c>
      <c r="H33" s="46">
        <v>46252.873291435186</v>
      </c>
      <c r="I33" s="46">
        <v>46252.873886805559</v>
      </c>
      <c r="J33" s="20">
        <f t="shared" si="0"/>
        <v>5.9537037304835394E-4</v>
      </c>
      <c r="K33" s="32" t="s">
        <v>15</v>
      </c>
      <c r="L33" s="25" t="e">
        <f>VLOOKUP(G33,Call!A25:B54,2,0)</f>
        <v>#N/A</v>
      </c>
      <c r="M33" s="24" t="s">
        <v>16</v>
      </c>
      <c r="N33" s="24" t="s">
        <v>38</v>
      </c>
      <c r="O33" s="35" t="s">
        <v>18</v>
      </c>
      <c r="P33" s="51" t="s">
        <v>108</v>
      </c>
    </row>
    <row r="34" spans="2:16" s="16" customFormat="1" x14ac:dyDescent="0.25">
      <c r="B34" s="34">
        <v>46252</v>
      </c>
      <c r="C34" s="13" t="s">
        <v>103</v>
      </c>
      <c r="D34" s="13" t="s">
        <v>82</v>
      </c>
      <c r="E34" s="13" t="s">
        <v>104</v>
      </c>
      <c r="F34" s="13" t="s">
        <v>105</v>
      </c>
      <c r="G34" s="35" t="s">
        <v>97</v>
      </c>
      <c r="H34" s="46">
        <v>46252.874228125002</v>
      </c>
      <c r="I34" s="46">
        <v>46252.874612384257</v>
      </c>
      <c r="J34" s="20">
        <f t="shared" si="0"/>
        <v>3.8425925595220178E-4</v>
      </c>
      <c r="K34" s="32" t="s">
        <v>15</v>
      </c>
      <c r="L34" s="25" t="e">
        <f>VLOOKUP(G34,Call!A26:B55,2,0)</f>
        <v>#N/A</v>
      </c>
      <c r="M34" s="24" t="s">
        <v>16</v>
      </c>
      <c r="N34" s="24" t="s">
        <v>38</v>
      </c>
      <c r="O34" s="35" t="s">
        <v>18</v>
      </c>
      <c r="P34" s="51" t="s">
        <v>108</v>
      </c>
    </row>
    <row r="35" spans="2:16" s="16" customFormat="1" x14ac:dyDescent="0.25">
      <c r="B35" s="34">
        <v>46252</v>
      </c>
      <c r="C35" s="13" t="s">
        <v>103</v>
      </c>
      <c r="D35" s="13" t="s">
        <v>82</v>
      </c>
      <c r="E35" s="13" t="s">
        <v>104</v>
      </c>
      <c r="F35" s="13" t="s">
        <v>105</v>
      </c>
      <c r="G35" s="35" t="s">
        <v>85</v>
      </c>
      <c r="H35" s="46">
        <v>46252.87494814815</v>
      </c>
      <c r="I35" s="46">
        <v>46252.875107175925</v>
      </c>
      <c r="J35" s="20">
        <f t="shared" si="0"/>
        <v>1.5902777522569522E-4</v>
      </c>
      <c r="K35" s="32" t="s">
        <v>15</v>
      </c>
      <c r="L35" s="25" t="e">
        <f>VLOOKUP(G35,Call!A27:B56,2,0)</f>
        <v>#N/A</v>
      </c>
      <c r="M35" s="24" t="s">
        <v>16</v>
      </c>
      <c r="N35" s="24" t="s">
        <v>38</v>
      </c>
      <c r="O35" s="35" t="s">
        <v>18</v>
      </c>
      <c r="P35" s="51" t="s">
        <v>108</v>
      </c>
    </row>
    <row r="36" spans="2:16" s="16" customFormat="1" x14ac:dyDescent="0.25">
      <c r="B36" s="34">
        <v>46252</v>
      </c>
      <c r="C36" s="13" t="s">
        <v>103</v>
      </c>
      <c r="D36" s="13" t="s">
        <v>82</v>
      </c>
      <c r="E36" s="13" t="s">
        <v>104</v>
      </c>
      <c r="F36" s="13" t="s">
        <v>105</v>
      </c>
      <c r="G36" s="45" t="s">
        <v>86</v>
      </c>
      <c r="H36" s="46">
        <v>46252.87535613426</v>
      </c>
      <c r="I36" s="46">
        <v>46252.876863773148</v>
      </c>
      <c r="J36" s="20">
        <f t="shared" si="0"/>
        <v>1.5076388881425373E-3</v>
      </c>
      <c r="K36" s="32" t="s">
        <v>15</v>
      </c>
      <c r="L36" s="25" t="e">
        <f>VLOOKUP(#REF!,Call!A28:B57,2,0)</f>
        <v>#REF!</v>
      </c>
      <c r="M36" s="24" t="s">
        <v>16</v>
      </c>
      <c r="N36" s="24" t="s">
        <v>38</v>
      </c>
      <c r="O36" s="35" t="s">
        <v>18</v>
      </c>
      <c r="P36" s="51" t="s">
        <v>108</v>
      </c>
    </row>
    <row r="37" spans="2:16" s="16" customFormat="1" x14ac:dyDescent="0.25">
      <c r="B37" s="34">
        <v>46252</v>
      </c>
      <c r="C37" s="13" t="s">
        <v>103</v>
      </c>
      <c r="D37" s="13" t="s">
        <v>82</v>
      </c>
      <c r="E37" s="13" t="s">
        <v>104</v>
      </c>
      <c r="F37" s="13" t="s">
        <v>105</v>
      </c>
      <c r="G37" s="35" t="s">
        <v>87</v>
      </c>
      <c r="H37" s="46">
        <v>46252.876747685186</v>
      </c>
      <c r="I37" s="46">
        <v>46252.892141203702</v>
      </c>
      <c r="J37" s="20">
        <f>I37-H37</f>
        <v>1.5393518515338656E-2</v>
      </c>
      <c r="K37" s="32" t="s">
        <v>15</v>
      </c>
      <c r="L37" s="25" t="e">
        <f>VLOOKUP(G37,Call!A29:B58,2,0)</f>
        <v>#N/A</v>
      </c>
      <c r="M37" s="24" t="s">
        <v>16</v>
      </c>
      <c r="N37" s="24" t="s">
        <v>38</v>
      </c>
      <c r="O37" s="35" t="s">
        <v>18</v>
      </c>
      <c r="P37" s="51" t="s">
        <v>108</v>
      </c>
    </row>
    <row r="38" spans="2:16" s="16" customFormat="1" x14ac:dyDescent="0.25">
      <c r="B38" s="34">
        <v>46252</v>
      </c>
      <c r="C38" s="13" t="s">
        <v>103</v>
      </c>
      <c r="D38" s="13" t="s">
        <v>82</v>
      </c>
      <c r="E38" s="13" t="s">
        <v>104</v>
      </c>
      <c r="F38" s="13" t="s">
        <v>105</v>
      </c>
      <c r="G38" s="45" t="s">
        <v>27</v>
      </c>
      <c r="H38" s="46">
        <v>46252.894348379632</v>
      </c>
      <c r="I38" s="46">
        <v>46252.89470798611</v>
      </c>
      <c r="J38" s="20">
        <f>I38-H38</f>
        <v>3.5960647801402956E-4</v>
      </c>
      <c r="K38" s="32" t="s">
        <v>15</v>
      </c>
      <c r="L38" s="25" t="e">
        <f>VLOOKUP(G38,Call!A30:B59,2,0)</f>
        <v>#N/A</v>
      </c>
      <c r="M38" s="24" t="s">
        <v>16</v>
      </c>
      <c r="N38" s="24" t="s">
        <v>38</v>
      </c>
      <c r="O38" s="35" t="s">
        <v>18</v>
      </c>
      <c r="P38" s="51" t="s">
        <v>108</v>
      </c>
    </row>
    <row r="39" spans="2:16" s="16" customFormat="1" x14ac:dyDescent="0.25">
      <c r="B39" s="34">
        <v>46252</v>
      </c>
      <c r="C39" s="13" t="s">
        <v>103</v>
      </c>
      <c r="D39" s="13" t="s">
        <v>82</v>
      </c>
      <c r="E39" s="13" t="s">
        <v>104</v>
      </c>
      <c r="F39" s="13" t="s">
        <v>105</v>
      </c>
      <c r="G39" s="45" t="s">
        <v>28</v>
      </c>
      <c r="H39" s="46">
        <v>46252.894949305555</v>
      </c>
      <c r="I39" s="46">
        <v>46252.895199652776</v>
      </c>
      <c r="J39" s="20">
        <f t="shared" si="0"/>
        <v>2.5034722057171166E-4</v>
      </c>
      <c r="K39" s="32" t="s">
        <v>15</v>
      </c>
      <c r="L39" s="25" t="e">
        <f>VLOOKUP(G39,Call!A31:B60,2,0)</f>
        <v>#N/A</v>
      </c>
      <c r="M39" s="24" t="s">
        <v>16</v>
      </c>
      <c r="N39" s="24" t="s">
        <v>38</v>
      </c>
      <c r="O39" s="35" t="s">
        <v>18</v>
      </c>
      <c r="P39" s="51" t="s">
        <v>108</v>
      </c>
    </row>
    <row r="40" spans="2:16" s="16" customFormat="1" x14ac:dyDescent="0.25">
      <c r="B40" s="34">
        <v>46252</v>
      </c>
      <c r="C40" s="13" t="s">
        <v>103</v>
      </c>
      <c r="D40" s="13" t="s">
        <v>82</v>
      </c>
      <c r="E40" s="13" t="s">
        <v>104</v>
      </c>
      <c r="F40" s="13" t="s">
        <v>105</v>
      </c>
      <c r="G40" s="45" t="s">
        <v>30</v>
      </c>
      <c r="H40" s="46">
        <v>46252.895553587965</v>
      </c>
      <c r="I40" s="46">
        <v>46252.895886458333</v>
      </c>
      <c r="J40" s="20">
        <f t="shared" si="0"/>
        <v>3.3287036785623059E-4</v>
      </c>
      <c r="K40" s="32" t="s">
        <v>15</v>
      </c>
      <c r="L40" s="25" t="e">
        <f>VLOOKUP(G40,Call!A32:B61,2,0)</f>
        <v>#N/A</v>
      </c>
      <c r="M40" s="24" t="s">
        <v>16</v>
      </c>
      <c r="N40" s="24" t="s">
        <v>38</v>
      </c>
      <c r="O40" s="35" t="s">
        <v>18</v>
      </c>
      <c r="P40" s="51" t="s">
        <v>108</v>
      </c>
    </row>
    <row r="41" spans="2:16" s="16" customFormat="1" x14ac:dyDescent="0.25">
      <c r="B41" s="34">
        <v>46252</v>
      </c>
      <c r="C41" s="13" t="s">
        <v>103</v>
      </c>
      <c r="D41" s="13" t="s">
        <v>82</v>
      </c>
      <c r="E41" s="13" t="s">
        <v>104</v>
      </c>
      <c r="F41" s="13" t="s">
        <v>105</v>
      </c>
      <c r="G41" s="45" t="s">
        <v>101</v>
      </c>
      <c r="H41" s="46">
        <v>46252.896056712962</v>
      </c>
      <c r="I41" s="46">
        <v>46252.896312731478</v>
      </c>
      <c r="J41" s="20">
        <f>I41-H41</f>
        <v>2.5601851666579023E-4</v>
      </c>
      <c r="K41" s="32" t="s">
        <v>15</v>
      </c>
      <c r="L41" s="25" t="e">
        <f>VLOOKUP(G41,Call!A33:B62,2,0)</f>
        <v>#N/A</v>
      </c>
      <c r="M41" s="24" t="s">
        <v>16</v>
      </c>
      <c r="N41" s="24" t="s">
        <v>38</v>
      </c>
      <c r="O41" s="35" t="s">
        <v>18</v>
      </c>
      <c r="P41" s="51" t="s">
        <v>108</v>
      </c>
    </row>
    <row r="42" spans="2:16" s="16" customFormat="1" x14ac:dyDescent="0.25">
      <c r="B42" s="34">
        <v>46252</v>
      </c>
      <c r="C42" s="13" t="s">
        <v>103</v>
      </c>
      <c r="D42" s="13" t="s">
        <v>82</v>
      </c>
      <c r="E42" s="13" t="s">
        <v>104</v>
      </c>
      <c r="F42" s="13" t="s">
        <v>105</v>
      </c>
      <c r="G42" s="45" t="s">
        <v>31</v>
      </c>
      <c r="H42" s="46">
        <v>46252.896405671294</v>
      </c>
      <c r="I42" s="46">
        <v>46252.896770023151</v>
      </c>
      <c r="J42" s="20">
        <f t="shared" si="0"/>
        <v>3.6435185756999999E-4</v>
      </c>
      <c r="K42" s="32" t="s">
        <v>15</v>
      </c>
      <c r="L42" s="25" t="e">
        <f>VLOOKUP(G42,Call!A34:B63,2,0)</f>
        <v>#N/A</v>
      </c>
      <c r="M42" s="24" t="s">
        <v>16</v>
      </c>
      <c r="N42" s="24" t="s">
        <v>38</v>
      </c>
      <c r="O42" s="35" t="s">
        <v>18</v>
      </c>
      <c r="P42" s="51" t="s">
        <v>108</v>
      </c>
    </row>
    <row r="43" spans="2:16" s="16" customFormat="1" x14ac:dyDescent="0.25">
      <c r="B43" s="34">
        <v>46252</v>
      </c>
      <c r="C43" s="13" t="s">
        <v>103</v>
      </c>
      <c r="D43" s="13" t="s">
        <v>82</v>
      </c>
      <c r="E43" s="13" t="s">
        <v>104</v>
      </c>
      <c r="F43" s="13" t="s">
        <v>105</v>
      </c>
      <c r="G43" s="45" t="s">
        <v>102</v>
      </c>
      <c r="H43" s="46">
        <v>46252.89696435185</v>
      </c>
      <c r="I43" s="46">
        <v>46252.897115624997</v>
      </c>
      <c r="J43" s="20">
        <f t="shared" si="0"/>
        <v>1.512731469119899E-4</v>
      </c>
      <c r="K43" s="32" t="s">
        <v>15</v>
      </c>
      <c r="L43" s="25" t="e">
        <f>VLOOKUP(G43,Call!A35:B64,2,0)</f>
        <v>#N/A</v>
      </c>
      <c r="M43" s="24" t="s">
        <v>16</v>
      </c>
      <c r="N43" s="24" t="s">
        <v>38</v>
      </c>
      <c r="O43" s="35" t="s">
        <v>18</v>
      </c>
      <c r="P43" s="51" t="s">
        <v>108</v>
      </c>
    </row>
    <row r="44" spans="2:16" s="16" customFormat="1" x14ac:dyDescent="0.25">
      <c r="B44" s="34">
        <v>46252</v>
      </c>
      <c r="C44" s="13" t="s">
        <v>103</v>
      </c>
      <c r="D44" s="13" t="s">
        <v>82</v>
      </c>
      <c r="E44" s="13" t="s">
        <v>104</v>
      </c>
      <c r="F44" s="13" t="s">
        <v>105</v>
      </c>
      <c r="G44" s="45" t="s">
        <v>46</v>
      </c>
      <c r="H44" s="46">
        <v>46252.897412847225</v>
      </c>
      <c r="I44" s="46">
        <v>46252.897951736108</v>
      </c>
      <c r="J44" s="20">
        <f t="shared" ref="J44:J104" si="1">I44-H44</f>
        <v>5.3888888214714825E-4</v>
      </c>
      <c r="K44" s="32" t="s">
        <v>15</v>
      </c>
      <c r="L44" s="25" t="e">
        <f>VLOOKUP(G44,Call!A36:B65,2,0)</f>
        <v>#N/A</v>
      </c>
      <c r="M44" s="24" t="s">
        <v>16</v>
      </c>
      <c r="N44" s="24" t="s">
        <v>38</v>
      </c>
      <c r="O44" s="35" t="s">
        <v>18</v>
      </c>
      <c r="P44" s="51" t="s">
        <v>108</v>
      </c>
    </row>
    <row r="45" spans="2:16" s="16" customFormat="1" x14ac:dyDescent="0.25">
      <c r="B45" s="12">
        <v>46256</v>
      </c>
      <c r="C45" s="11" t="s">
        <v>109</v>
      </c>
      <c r="D45" s="11" t="s">
        <v>82</v>
      </c>
      <c r="E45" s="11" t="s">
        <v>110</v>
      </c>
      <c r="F45" s="11" t="s">
        <v>111</v>
      </c>
      <c r="G45" s="11" t="s">
        <v>14</v>
      </c>
      <c r="H45" s="53">
        <v>46255.981610648145</v>
      </c>
      <c r="I45" s="53">
        <v>46255.983258796296</v>
      </c>
      <c r="J45" s="20">
        <f t="shared" si="1"/>
        <v>1.6481481507071294E-3</v>
      </c>
      <c r="K45" s="32" t="s">
        <v>15</v>
      </c>
      <c r="L45" s="25" t="s">
        <v>44</v>
      </c>
      <c r="M45" s="24" t="s">
        <v>16</v>
      </c>
      <c r="N45" s="24" t="s">
        <v>17</v>
      </c>
      <c r="O45" s="35" t="s">
        <v>18</v>
      </c>
    </row>
    <row r="46" spans="2:16" s="16" customFormat="1" x14ac:dyDescent="0.25">
      <c r="B46" s="12">
        <v>46256</v>
      </c>
      <c r="C46" s="11" t="s">
        <v>109</v>
      </c>
      <c r="D46" s="11" t="s">
        <v>82</v>
      </c>
      <c r="E46" s="11" t="s">
        <v>110</v>
      </c>
      <c r="F46" s="11" t="s">
        <v>111</v>
      </c>
      <c r="G46" s="11" t="s">
        <v>19</v>
      </c>
      <c r="H46" s="53">
        <v>46255.983310416668</v>
      </c>
      <c r="I46" s="53">
        <v>46255.983775115739</v>
      </c>
      <c r="J46" s="20">
        <f t="shared" si="1"/>
        <v>4.6469907101709396E-4</v>
      </c>
      <c r="K46" s="32" t="s">
        <v>15</v>
      </c>
      <c r="L46" s="25" t="s">
        <v>44</v>
      </c>
      <c r="M46" s="24" t="s">
        <v>16</v>
      </c>
      <c r="N46" s="24" t="s">
        <v>17</v>
      </c>
      <c r="O46" s="35" t="s">
        <v>18</v>
      </c>
    </row>
    <row r="47" spans="2:16" s="16" customFormat="1" x14ac:dyDescent="0.25">
      <c r="B47" s="12">
        <v>46256</v>
      </c>
      <c r="C47" s="11" t="s">
        <v>109</v>
      </c>
      <c r="D47" s="11" t="s">
        <v>82</v>
      </c>
      <c r="E47" s="11" t="s">
        <v>110</v>
      </c>
      <c r="F47" s="11" t="s">
        <v>111</v>
      </c>
      <c r="G47" s="11" t="s">
        <v>20</v>
      </c>
      <c r="H47" s="53">
        <v>46255.983850578705</v>
      </c>
      <c r="I47" s="53">
        <v>46255.984345949073</v>
      </c>
      <c r="J47" s="20">
        <f t="shared" si="1"/>
        <v>4.9537036829860881E-4</v>
      </c>
      <c r="K47" s="32" t="s">
        <v>15</v>
      </c>
      <c r="L47" s="25" t="s">
        <v>44</v>
      </c>
      <c r="M47" s="24" t="s">
        <v>16</v>
      </c>
      <c r="N47" s="24" t="s">
        <v>17</v>
      </c>
      <c r="O47" s="35" t="s">
        <v>18</v>
      </c>
    </row>
    <row r="48" spans="2:16" s="16" customFormat="1" x14ac:dyDescent="0.25">
      <c r="B48" s="12">
        <v>46256</v>
      </c>
      <c r="C48" s="11" t="s">
        <v>109</v>
      </c>
      <c r="D48" s="11" t="s">
        <v>82</v>
      </c>
      <c r="E48" s="11" t="s">
        <v>110</v>
      </c>
      <c r="F48" s="11" t="s">
        <v>111</v>
      </c>
      <c r="G48" s="11" t="s">
        <v>21</v>
      </c>
      <c r="H48" s="53">
        <v>46255.984386689815</v>
      </c>
      <c r="I48" s="53">
        <v>46255.984975347223</v>
      </c>
      <c r="J48" s="20">
        <f t="shared" si="1"/>
        <v>5.8865740720648319E-4</v>
      </c>
      <c r="K48" s="32" t="s">
        <v>15</v>
      </c>
      <c r="L48" s="25" t="s">
        <v>41</v>
      </c>
      <c r="M48" s="24" t="s">
        <v>16</v>
      </c>
      <c r="N48" s="24" t="s">
        <v>17</v>
      </c>
      <c r="O48" s="35" t="s">
        <v>18</v>
      </c>
    </row>
    <row r="49" spans="2:15" s="16" customFormat="1" x14ac:dyDescent="0.25">
      <c r="B49" s="12">
        <v>46256</v>
      </c>
      <c r="C49" s="11" t="s">
        <v>109</v>
      </c>
      <c r="D49" s="11" t="s">
        <v>82</v>
      </c>
      <c r="E49" s="11" t="s">
        <v>110</v>
      </c>
      <c r="F49" s="11" t="s">
        <v>111</v>
      </c>
      <c r="G49" s="11" t="s">
        <v>42</v>
      </c>
      <c r="H49" s="53">
        <v>46255.985053240744</v>
      </c>
      <c r="I49" s="53">
        <v>46255.985427430554</v>
      </c>
      <c r="J49" s="20">
        <f t="shared" si="1"/>
        <v>3.7418981082737446E-4</v>
      </c>
      <c r="K49" s="32" t="s">
        <v>15</v>
      </c>
      <c r="L49" s="25" t="s">
        <v>41</v>
      </c>
      <c r="M49" s="24" t="s">
        <v>16</v>
      </c>
      <c r="N49" s="24" t="s">
        <v>17</v>
      </c>
      <c r="O49" s="35" t="s">
        <v>18</v>
      </c>
    </row>
    <row r="50" spans="2:15" s="16" customFormat="1" x14ac:dyDescent="0.25">
      <c r="B50" s="12">
        <v>46256</v>
      </c>
      <c r="C50" s="11" t="s">
        <v>109</v>
      </c>
      <c r="D50" s="11" t="s">
        <v>82</v>
      </c>
      <c r="E50" s="11" t="s">
        <v>110</v>
      </c>
      <c r="F50" s="11" t="s">
        <v>111</v>
      </c>
      <c r="G50" s="11" t="s">
        <v>112</v>
      </c>
      <c r="H50" s="53">
        <v>46255.985526504628</v>
      </c>
      <c r="I50" s="53">
        <v>46255.985981365739</v>
      </c>
      <c r="J50" s="20">
        <f t="shared" si="1"/>
        <v>4.5486111048376188E-4</v>
      </c>
      <c r="K50" s="32" t="s">
        <v>15</v>
      </c>
      <c r="L50" s="25" t="s">
        <v>41</v>
      </c>
      <c r="M50" s="24" t="s">
        <v>16</v>
      </c>
      <c r="N50" s="24" t="s">
        <v>17</v>
      </c>
      <c r="O50" s="35" t="s">
        <v>18</v>
      </c>
    </row>
    <row r="51" spans="2:15" s="16" customFormat="1" x14ac:dyDescent="0.25">
      <c r="B51" s="12">
        <v>46256</v>
      </c>
      <c r="C51" s="11" t="s">
        <v>109</v>
      </c>
      <c r="D51" s="11" t="s">
        <v>82</v>
      </c>
      <c r="E51" s="11" t="s">
        <v>110</v>
      </c>
      <c r="F51" s="11" t="s">
        <v>111</v>
      </c>
      <c r="G51" s="11" t="s">
        <v>22</v>
      </c>
      <c r="H51" s="53">
        <v>46255.986324189813</v>
      </c>
      <c r="I51" s="53">
        <v>46255.986514814816</v>
      </c>
      <c r="J51" s="20">
        <f t="shared" si="1"/>
        <v>1.9062500359723344E-4</v>
      </c>
      <c r="K51" s="32" t="s">
        <v>15</v>
      </c>
      <c r="L51" s="25" t="s">
        <v>44</v>
      </c>
      <c r="M51" s="24" t="s">
        <v>16</v>
      </c>
      <c r="N51" s="24" t="s">
        <v>17</v>
      </c>
      <c r="O51" s="35" t="s">
        <v>18</v>
      </c>
    </row>
    <row r="52" spans="2:15" s="16" customFormat="1" x14ac:dyDescent="0.25">
      <c r="B52" s="12">
        <v>46256</v>
      </c>
      <c r="C52" s="11" t="s">
        <v>109</v>
      </c>
      <c r="D52" s="11" t="s">
        <v>82</v>
      </c>
      <c r="E52" s="11" t="s">
        <v>110</v>
      </c>
      <c r="F52" s="11" t="s">
        <v>111</v>
      </c>
      <c r="G52" s="11" t="s">
        <v>43</v>
      </c>
      <c r="H52" s="53">
        <v>46255.986575000003</v>
      </c>
      <c r="I52" s="53">
        <v>46255.986793171294</v>
      </c>
      <c r="J52" s="20">
        <f t="shared" si="1"/>
        <v>2.1817129163537174E-4</v>
      </c>
      <c r="K52" s="32" t="s">
        <v>15</v>
      </c>
      <c r="L52" s="25" t="s">
        <v>41</v>
      </c>
      <c r="M52" s="24" t="s">
        <v>16</v>
      </c>
      <c r="N52" s="24" t="s">
        <v>17</v>
      </c>
      <c r="O52" s="35" t="s">
        <v>18</v>
      </c>
    </row>
    <row r="53" spans="2:15" s="16" customFormat="1" x14ac:dyDescent="0.25">
      <c r="B53" s="12">
        <v>46256</v>
      </c>
      <c r="C53" s="11" t="s">
        <v>109</v>
      </c>
      <c r="D53" s="11" t="s">
        <v>82</v>
      </c>
      <c r="E53" s="11" t="s">
        <v>110</v>
      </c>
      <c r="F53" s="11" t="s">
        <v>111</v>
      </c>
      <c r="G53" s="11" t="s">
        <v>23</v>
      </c>
      <c r="H53" s="53">
        <v>46255.986872453701</v>
      </c>
      <c r="I53" s="53">
        <v>46255.987708449073</v>
      </c>
      <c r="J53" s="20">
        <f t="shared" si="1"/>
        <v>8.3599537174450234E-4</v>
      </c>
      <c r="K53" s="32" t="s">
        <v>15</v>
      </c>
      <c r="L53" s="25" t="s">
        <v>41</v>
      </c>
      <c r="M53" s="24" t="s">
        <v>16</v>
      </c>
      <c r="N53" s="24" t="s">
        <v>17</v>
      </c>
      <c r="O53" s="35" t="s">
        <v>18</v>
      </c>
    </row>
    <row r="54" spans="2:15" s="16" customFormat="1" x14ac:dyDescent="0.25">
      <c r="B54" s="12">
        <v>46256</v>
      </c>
      <c r="C54" s="11" t="s">
        <v>109</v>
      </c>
      <c r="D54" s="11" t="s">
        <v>82</v>
      </c>
      <c r="E54" s="11" t="s">
        <v>110</v>
      </c>
      <c r="F54" s="11" t="s">
        <v>111</v>
      </c>
      <c r="G54" s="11" t="s">
        <v>113</v>
      </c>
      <c r="H54" s="53">
        <v>46255.987741666664</v>
      </c>
      <c r="I54" s="53">
        <v>46255.990800694446</v>
      </c>
      <c r="J54" s="20">
        <f t="shared" si="1"/>
        <v>3.059027782001067E-3</v>
      </c>
      <c r="K54" s="32" t="s">
        <v>15</v>
      </c>
      <c r="L54" s="25" t="s">
        <v>41</v>
      </c>
      <c r="M54" s="24" t="s">
        <v>16</v>
      </c>
      <c r="N54" s="24" t="s">
        <v>17</v>
      </c>
      <c r="O54" s="35" t="s">
        <v>18</v>
      </c>
    </row>
    <row r="55" spans="2:15" s="16" customFormat="1" x14ac:dyDescent="0.25">
      <c r="B55" s="12">
        <v>46256</v>
      </c>
      <c r="C55" s="11" t="s">
        <v>109</v>
      </c>
      <c r="D55" s="11" t="s">
        <v>82</v>
      </c>
      <c r="E55" s="11" t="s">
        <v>110</v>
      </c>
      <c r="F55" s="11" t="s">
        <v>111</v>
      </c>
      <c r="G55" s="11" t="s">
        <v>24</v>
      </c>
      <c r="H55" s="53">
        <v>46255.990974537039</v>
      </c>
      <c r="I55" s="53">
        <v>46255.991198148149</v>
      </c>
      <c r="J55" s="20">
        <f t="shared" si="1"/>
        <v>2.2361111041391268E-4</v>
      </c>
      <c r="K55" s="32" t="s">
        <v>15</v>
      </c>
      <c r="L55" s="25" t="s">
        <v>41</v>
      </c>
      <c r="M55" s="24" t="s">
        <v>16</v>
      </c>
      <c r="N55" s="24" t="s">
        <v>17</v>
      </c>
      <c r="O55" s="35" t="s">
        <v>18</v>
      </c>
    </row>
    <row r="56" spans="2:15" s="16" customFormat="1" x14ac:dyDescent="0.25">
      <c r="B56" s="12">
        <v>46256</v>
      </c>
      <c r="C56" s="11" t="s">
        <v>109</v>
      </c>
      <c r="D56" s="11" t="s">
        <v>82</v>
      </c>
      <c r="E56" s="11" t="s">
        <v>110</v>
      </c>
      <c r="F56" s="11" t="s">
        <v>111</v>
      </c>
      <c r="G56" s="11" t="s">
        <v>25</v>
      </c>
      <c r="H56" s="53">
        <v>46255.991247106482</v>
      </c>
      <c r="I56" s="53">
        <v>46255.991471180554</v>
      </c>
      <c r="J56" s="20">
        <f t="shared" si="1"/>
        <v>2.2407407232094556E-4</v>
      </c>
      <c r="K56" s="32" t="s">
        <v>15</v>
      </c>
      <c r="L56" s="25" t="s">
        <v>41</v>
      </c>
      <c r="M56" s="24" t="s">
        <v>16</v>
      </c>
      <c r="N56" s="24" t="s">
        <v>17</v>
      </c>
      <c r="O56" s="35" t="s">
        <v>18</v>
      </c>
    </row>
    <row r="57" spans="2:15" s="16" customFormat="1" x14ac:dyDescent="0.25">
      <c r="B57" s="12">
        <v>46256</v>
      </c>
      <c r="C57" s="11" t="s">
        <v>109</v>
      </c>
      <c r="D57" s="11" t="s">
        <v>82</v>
      </c>
      <c r="E57" s="11" t="s">
        <v>110</v>
      </c>
      <c r="F57" s="11" t="s">
        <v>111</v>
      </c>
      <c r="G57" s="11" t="s">
        <v>114</v>
      </c>
      <c r="H57" s="53">
        <v>46255.991517129631</v>
      </c>
      <c r="I57" s="53">
        <v>46255.991878703702</v>
      </c>
      <c r="J57" s="20">
        <f t="shared" si="1"/>
        <v>3.615740715758875E-4</v>
      </c>
      <c r="K57" s="32" t="s">
        <v>15</v>
      </c>
      <c r="L57" s="25" t="s">
        <v>44</v>
      </c>
      <c r="M57" s="24" t="s">
        <v>16</v>
      </c>
      <c r="N57" s="24" t="s">
        <v>17</v>
      </c>
      <c r="O57" s="35" t="s">
        <v>18</v>
      </c>
    </row>
    <row r="58" spans="2:15" s="16" customFormat="1" x14ac:dyDescent="0.25">
      <c r="B58" s="12">
        <v>46256</v>
      </c>
      <c r="C58" s="11" t="s">
        <v>109</v>
      </c>
      <c r="D58" s="11" t="s">
        <v>82</v>
      </c>
      <c r="E58" s="11" t="s">
        <v>110</v>
      </c>
      <c r="F58" s="11" t="s">
        <v>111</v>
      </c>
      <c r="G58" s="11" t="s">
        <v>26</v>
      </c>
      <c r="H58" s="53">
        <v>46255.991921412038</v>
      </c>
      <c r="I58" s="53">
        <v>46255.992594791664</v>
      </c>
      <c r="J58" s="20">
        <f t="shared" si="1"/>
        <v>6.7337962536839768E-4</v>
      </c>
      <c r="K58" s="32" t="s">
        <v>15</v>
      </c>
      <c r="L58" s="25" t="s">
        <v>44</v>
      </c>
      <c r="M58" s="24" t="s">
        <v>16</v>
      </c>
      <c r="N58" s="24" t="s">
        <v>17</v>
      </c>
      <c r="O58" s="35" t="s">
        <v>18</v>
      </c>
    </row>
    <row r="59" spans="2:15" s="16" customFormat="1" x14ac:dyDescent="0.25">
      <c r="B59" s="12">
        <v>46256</v>
      </c>
      <c r="C59" s="11" t="s">
        <v>109</v>
      </c>
      <c r="D59" s="11" t="s">
        <v>82</v>
      </c>
      <c r="E59" s="11" t="s">
        <v>110</v>
      </c>
      <c r="F59" s="11" t="s">
        <v>111</v>
      </c>
      <c r="G59" s="11" t="s">
        <v>115</v>
      </c>
      <c r="H59" s="53">
        <v>46255.99263912037</v>
      </c>
      <c r="I59" s="53">
        <v>46255.994421296295</v>
      </c>
      <c r="J59" s="20">
        <f t="shared" si="1"/>
        <v>1.7821759247453883E-3</v>
      </c>
      <c r="K59" s="32" t="s">
        <v>15</v>
      </c>
      <c r="L59" s="25" t="s">
        <v>41</v>
      </c>
      <c r="M59" s="24" t="s">
        <v>16</v>
      </c>
      <c r="N59" s="24" t="s">
        <v>17</v>
      </c>
      <c r="O59" s="35" t="s">
        <v>18</v>
      </c>
    </row>
    <row r="60" spans="2:15" s="16" customFormat="1" x14ac:dyDescent="0.25">
      <c r="B60" s="12">
        <v>46256</v>
      </c>
      <c r="C60" s="11" t="s">
        <v>109</v>
      </c>
      <c r="D60" s="11" t="s">
        <v>82</v>
      </c>
      <c r="E60" s="11" t="s">
        <v>110</v>
      </c>
      <c r="F60" s="11" t="s">
        <v>111</v>
      </c>
      <c r="G60" s="11" t="s">
        <v>116</v>
      </c>
      <c r="H60" s="53">
        <v>46255.993773148148</v>
      </c>
      <c r="I60" s="53">
        <v>46255.997536921299</v>
      </c>
      <c r="J60" s="20">
        <f t="shared" si="1"/>
        <v>3.7637731511495076E-3</v>
      </c>
      <c r="K60" s="32" t="s">
        <v>15</v>
      </c>
      <c r="L60" s="25" t="s">
        <v>44</v>
      </c>
      <c r="M60" s="24" t="s">
        <v>16</v>
      </c>
      <c r="N60" s="24" t="s">
        <v>17</v>
      </c>
      <c r="O60" s="35" t="s">
        <v>18</v>
      </c>
    </row>
    <row r="61" spans="2:15" s="16" customFormat="1" x14ac:dyDescent="0.25">
      <c r="B61" s="12">
        <v>46256</v>
      </c>
      <c r="C61" s="11" t="s">
        <v>109</v>
      </c>
      <c r="D61" s="11" t="s">
        <v>82</v>
      </c>
      <c r="E61" s="11" t="s">
        <v>110</v>
      </c>
      <c r="F61" s="11" t="s">
        <v>111</v>
      </c>
      <c r="G61" s="11" t="s">
        <v>117</v>
      </c>
      <c r="H61" s="53">
        <v>46255.997595949077</v>
      </c>
      <c r="I61" s="53">
        <v>46255.998352546296</v>
      </c>
      <c r="J61" s="20">
        <f t="shared" si="1"/>
        <v>7.5659721915144473E-4</v>
      </c>
      <c r="K61" s="32" t="s">
        <v>15</v>
      </c>
      <c r="L61" s="25" t="s">
        <v>41</v>
      </c>
      <c r="M61" s="24" t="s">
        <v>16</v>
      </c>
      <c r="N61" s="24" t="s">
        <v>17</v>
      </c>
      <c r="O61" s="35" t="s">
        <v>18</v>
      </c>
    </row>
    <row r="62" spans="2:15" s="16" customFormat="1" x14ac:dyDescent="0.25">
      <c r="B62" s="12">
        <v>46256</v>
      </c>
      <c r="C62" s="11" t="s">
        <v>109</v>
      </c>
      <c r="D62" s="11" t="s">
        <v>82</v>
      </c>
      <c r="E62" s="11" t="s">
        <v>110</v>
      </c>
      <c r="F62" s="11" t="s">
        <v>111</v>
      </c>
      <c r="G62" s="11" t="s">
        <v>118</v>
      </c>
      <c r="H62" s="53">
        <v>46255.998400115743</v>
      </c>
      <c r="I62" s="53">
        <v>46255.999967361109</v>
      </c>
      <c r="J62" s="20">
        <f t="shared" si="1"/>
        <v>1.5672453664592467E-3</v>
      </c>
      <c r="K62" s="32" t="s">
        <v>15</v>
      </c>
      <c r="L62" s="25" t="s">
        <v>41</v>
      </c>
      <c r="M62" s="24" t="s">
        <v>16</v>
      </c>
      <c r="N62" s="24" t="s">
        <v>17</v>
      </c>
      <c r="O62" s="35" t="s">
        <v>18</v>
      </c>
    </row>
    <row r="63" spans="2:15" s="16" customFormat="1" x14ac:dyDescent="0.25">
      <c r="B63" s="12">
        <v>46256</v>
      </c>
      <c r="C63" s="11" t="s">
        <v>109</v>
      </c>
      <c r="D63" s="11" t="s">
        <v>82</v>
      </c>
      <c r="E63" s="11" t="s">
        <v>110</v>
      </c>
      <c r="F63" s="11" t="s">
        <v>111</v>
      </c>
      <c r="G63" s="11" t="s">
        <v>119</v>
      </c>
      <c r="H63" s="53">
        <v>46255.999992476849</v>
      </c>
      <c r="I63" s="53">
        <v>46256.00133564815</v>
      </c>
      <c r="J63" s="20">
        <f t="shared" si="1"/>
        <v>1.3431713014142588E-3</v>
      </c>
      <c r="K63" s="32" t="s">
        <v>15</v>
      </c>
      <c r="L63" s="25" t="s">
        <v>41</v>
      </c>
      <c r="M63" s="24" t="s">
        <v>16</v>
      </c>
      <c r="N63" s="24" t="s">
        <v>17</v>
      </c>
      <c r="O63" s="35" t="s">
        <v>18</v>
      </c>
    </row>
    <row r="64" spans="2:15" s="16" customFormat="1" x14ac:dyDescent="0.25">
      <c r="B64" s="12">
        <v>46256</v>
      </c>
      <c r="C64" s="11" t="s">
        <v>109</v>
      </c>
      <c r="D64" s="11" t="s">
        <v>82</v>
      </c>
      <c r="E64" s="11" t="s">
        <v>110</v>
      </c>
      <c r="F64" s="11" t="s">
        <v>111</v>
      </c>
      <c r="G64" s="11" t="s">
        <v>120</v>
      </c>
      <c r="H64" s="53">
        <v>46256.001394212966</v>
      </c>
      <c r="I64" s="53">
        <v>46256.001501041668</v>
      </c>
      <c r="J64" s="20">
        <f t="shared" si="1"/>
        <v>1.0682870197342709E-4</v>
      </c>
      <c r="K64" s="32" t="s">
        <v>15</v>
      </c>
      <c r="L64" s="25" t="s">
        <v>44</v>
      </c>
      <c r="M64" s="24" t="s">
        <v>16</v>
      </c>
      <c r="N64" s="24" t="s">
        <v>17</v>
      </c>
      <c r="O64" s="35" t="s">
        <v>18</v>
      </c>
    </row>
    <row r="65" spans="2:16" s="16" customFormat="1" x14ac:dyDescent="0.25">
      <c r="B65" s="12">
        <v>46256</v>
      </c>
      <c r="C65" s="11" t="s">
        <v>109</v>
      </c>
      <c r="D65" s="11" t="s">
        <v>82</v>
      </c>
      <c r="E65" s="11" t="s">
        <v>110</v>
      </c>
      <c r="F65" s="11" t="s">
        <v>111</v>
      </c>
      <c r="G65" s="11" t="s">
        <v>27</v>
      </c>
      <c r="H65" s="53">
        <v>46256.001570370368</v>
      </c>
      <c r="I65" s="53">
        <v>46256.002079050922</v>
      </c>
      <c r="J65" s="20">
        <f t="shared" si="1"/>
        <v>5.0868055404862389E-4</v>
      </c>
      <c r="K65" s="32" t="s">
        <v>15</v>
      </c>
      <c r="L65" s="25" t="s">
        <v>44</v>
      </c>
      <c r="M65" s="24" t="s">
        <v>16</v>
      </c>
      <c r="N65" s="24" t="s">
        <v>17</v>
      </c>
      <c r="O65" s="35" t="s">
        <v>18</v>
      </c>
    </row>
    <row r="66" spans="2:16" s="16" customFormat="1" x14ac:dyDescent="0.25">
      <c r="B66" s="12">
        <v>46256</v>
      </c>
      <c r="C66" s="11" t="s">
        <v>109</v>
      </c>
      <c r="D66" s="11" t="s">
        <v>82</v>
      </c>
      <c r="E66" s="11" t="s">
        <v>110</v>
      </c>
      <c r="F66" s="11" t="s">
        <v>111</v>
      </c>
      <c r="G66" s="11" t="s">
        <v>28</v>
      </c>
      <c r="H66" s="53">
        <v>46256.002100810183</v>
      </c>
      <c r="I66" s="53">
        <v>46256.003190509262</v>
      </c>
      <c r="J66" s="20">
        <f t="shared" si="1"/>
        <v>1.0896990788751282E-3</v>
      </c>
      <c r="K66" s="32" t="s">
        <v>15</v>
      </c>
      <c r="L66" s="25" t="s">
        <v>44</v>
      </c>
      <c r="M66" s="24" t="s">
        <v>16</v>
      </c>
      <c r="N66" s="24" t="s">
        <v>17</v>
      </c>
      <c r="O66" s="35" t="s">
        <v>18</v>
      </c>
    </row>
    <row r="67" spans="2:16" s="16" customFormat="1" x14ac:dyDescent="0.25">
      <c r="B67" s="12">
        <v>46256</v>
      </c>
      <c r="C67" s="11" t="s">
        <v>109</v>
      </c>
      <c r="D67" s="11" t="s">
        <v>82</v>
      </c>
      <c r="E67" s="11" t="s">
        <v>110</v>
      </c>
      <c r="F67" s="11" t="s">
        <v>111</v>
      </c>
      <c r="G67" s="11" t="s">
        <v>29</v>
      </c>
      <c r="H67" s="53">
        <v>46256.003239699072</v>
      </c>
      <c r="I67" s="53">
        <v>46256.004650925926</v>
      </c>
      <c r="J67" s="20">
        <f t="shared" si="1"/>
        <v>1.4112268545432016E-3</v>
      </c>
      <c r="K67" s="32" t="s">
        <v>15</v>
      </c>
      <c r="L67" s="25" t="s">
        <v>41</v>
      </c>
      <c r="M67" s="24" t="s">
        <v>16</v>
      </c>
      <c r="N67" s="24" t="s">
        <v>17</v>
      </c>
      <c r="O67" s="35" t="s">
        <v>18</v>
      </c>
    </row>
    <row r="68" spans="2:16" s="16" customFormat="1" x14ac:dyDescent="0.25">
      <c r="B68" s="12">
        <v>46256</v>
      </c>
      <c r="C68" s="11" t="s">
        <v>109</v>
      </c>
      <c r="D68" s="11" t="s">
        <v>82</v>
      </c>
      <c r="E68" s="11" t="s">
        <v>110</v>
      </c>
      <c r="F68" s="11" t="s">
        <v>111</v>
      </c>
      <c r="G68" s="11" t="s">
        <v>45</v>
      </c>
      <c r="H68" s="53">
        <v>46256.004674537035</v>
      </c>
      <c r="I68" s="53">
        <v>46256.004900694446</v>
      </c>
      <c r="J68" s="20">
        <f t="shared" si="1"/>
        <v>2.2615741181652993E-4</v>
      </c>
      <c r="K68" s="32" t="s">
        <v>15</v>
      </c>
      <c r="L68" s="25" t="s">
        <v>41</v>
      </c>
      <c r="M68" s="24" t="s">
        <v>16</v>
      </c>
      <c r="N68" s="24" t="s">
        <v>17</v>
      </c>
      <c r="O68" s="35" t="s">
        <v>18</v>
      </c>
    </row>
    <row r="69" spans="2:16" s="16" customFormat="1" x14ac:dyDescent="0.25">
      <c r="B69" s="12">
        <v>46256</v>
      </c>
      <c r="C69" s="11" t="s">
        <v>109</v>
      </c>
      <c r="D69" s="11" t="s">
        <v>82</v>
      </c>
      <c r="E69" s="11" t="s">
        <v>110</v>
      </c>
      <c r="F69" s="11" t="s">
        <v>111</v>
      </c>
      <c r="G69" s="11" t="s">
        <v>121</v>
      </c>
      <c r="H69" s="53">
        <v>46256.0049349537</v>
      </c>
      <c r="I69" s="53">
        <v>46256.005488310184</v>
      </c>
      <c r="J69" s="20">
        <f t="shared" si="1"/>
        <v>5.5335648357868195E-4</v>
      </c>
      <c r="K69" s="32" t="s">
        <v>15</v>
      </c>
      <c r="L69" s="25" t="s">
        <v>41</v>
      </c>
      <c r="M69" s="24" t="s">
        <v>16</v>
      </c>
      <c r="N69" s="24" t="s">
        <v>17</v>
      </c>
      <c r="O69" s="35" t="s">
        <v>18</v>
      </c>
    </row>
    <row r="70" spans="2:16" s="16" customFormat="1" x14ac:dyDescent="0.25">
      <c r="B70" s="12">
        <v>46256</v>
      </c>
      <c r="C70" s="11" t="s">
        <v>109</v>
      </c>
      <c r="D70" s="11" t="s">
        <v>82</v>
      </c>
      <c r="E70" s="11" t="s">
        <v>110</v>
      </c>
      <c r="F70" s="11" t="s">
        <v>111</v>
      </c>
      <c r="G70" s="11" t="s">
        <v>30</v>
      </c>
      <c r="H70" s="53">
        <v>46256.005631250002</v>
      </c>
      <c r="I70" s="53">
        <v>46256.00619641204</v>
      </c>
      <c r="J70" s="20">
        <f t="shared" si="1"/>
        <v>5.6516203767387196E-4</v>
      </c>
      <c r="K70" s="32" t="s">
        <v>15</v>
      </c>
      <c r="L70" s="25" t="s">
        <v>41</v>
      </c>
      <c r="M70" s="24" t="s">
        <v>16</v>
      </c>
      <c r="N70" s="24" t="s">
        <v>17</v>
      </c>
      <c r="O70" s="35" t="s">
        <v>18</v>
      </c>
    </row>
    <row r="71" spans="2:16" s="16" customFormat="1" x14ac:dyDescent="0.25">
      <c r="B71" s="12">
        <v>46256</v>
      </c>
      <c r="C71" s="11" t="s">
        <v>109</v>
      </c>
      <c r="D71" s="11" t="s">
        <v>82</v>
      </c>
      <c r="E71" s="11" t="s">
        <v>110</v>
      </c>
      <c r="F71" s="11" t="s">
        <v>111</v>
      </c>
      <c r="G71" s="11" t="s">
        <v>31</v>
      </c>
      <c r="H71" s="53">
        <v>46256.006227083337</v>
      </c>
      <c r="I71" s="53">
        <v>46256.006912152778</v>
      </c>
      <c r="J71" s="20">
        <f t="shared" si="1"/>
        <v>6.8506944080581889E-4</v>
      </c>
      <c r="K71" s="32" t="s">
        <v>15</v>
      </c>
      <c r="L71" s="25" t="s">
        <v>44</v>
      </c>
      <c r="M71" s="24" t="s">
        <v>16</v>
      </c>
      <c r="N71" s="24" t="s">
        <v>17</v>
      </c>
      <c r="O71" s="35" t="s">
        <v>18</v>
      </c>
    </row>
    <row r="72" spans="2:16" s="16" customFormat="1" x14ac:dyDescent="0.25">
      <c r="B72" s="12">
        <v>46256</v>
      </c>
      <c r="C72" s="11" t="s">
        <v>109</v>
      </c>
      <c r="D72" s="11" t="s">
        <v>82</v>
      </c>
      <c r="E72" s="11" t="s">
        <v>110</v>
      </c>
      <c r="F72" s="11" t="s">
        <v>111</v>
      </c>
      <c r="G72" s="11" t="s">
        <v>122</v>
      </c>
      <c r="H72" s="53">
        <v>46256.006952314812</v>
      </c>
      <c r="I72" s="53">
        <v>46256.008332060184</v>
      </c>
      <c r="J72" s="20">
        <f t="shared" si="1"/>
        <v>1.3797453721053898E-3</v>
      </c>
      <c r="K72" s="32" t="s">
        <v>15</v>
      </c>
      <c r="L72" s="25" t="s">
        <v>41</v>
      </c>
      <c r="M72" s="24" t="s">
        <v>16</v>
      </c>
      <c r="N72" s="24" t="s">
        <v>17</v>
      </c>
      <c r="O72" s="35" t="s">
        <v>18</v>
      </c>
    </row>
    <row r="73" spans="2:16" s="16" customFormat="1" x14ac:dyDescent="0.25">
      <c r="B73" s="12">
        <v>46256</v>
      </c>
      <c r="C73" s="11" t="s">
        <v>109</v>
      </c>
      <c r="D73" s="11" t="s">
        <v>82</v>
      </c>
      <c r="E73" s="11" t="s">
        <v>110</v>
      </c>
      <c r="F73" s="11" t="s">
        <v>111</v>
      </c>
      <c r="G73" s="11" t="s">
        <v>123</v>
      </c>
      <c r="H73" s="53">
        <v>46256.008402199077</v>
      </c>
      <c r="I73" s="53">
        <v>46256.009177199077</v>
      </c>
      <c r="J73" s="20">
        <f t="shared" si="1"/>
        <v>7.7500000043073669E-4</v>
      </c>
      <c r="K73" s="32" t="s">
        <v>15</v>
      </c>
      <c r="L73" s="25" t="s">
        <v>41</v>
      </c>
      <c r="M73" s="24" t="s">
        <v>16</v>
      </c>
      <c r="N73" s="24" t="s">
        <v>17</v>
      </c>
      <c r="O73" s="35" t="s">
        <v>18</v>
      </c>
    </row>
    <row r="74" spans="2:16" s="16" customFormat="1" x14ac:dyDescent="0.25">
      <c r="B74" s="12">
        <v>46256</v>
      </c>
      <c r="C74" s="11" t="s">
        <v>109</v>
      </c>
      <c r="D74" s="11" t="s">
        <v>82</v>
      </c>
      <c r="E74" s="11" t="s">
        <v>110</v>
      </c>
      <c r="F74" s="11" t="s">
        <v>111</v>
      </c>
      <c r="G74" s="11" t="s">
        <v>46</v>
      </c>
      <c r="H74" s="53">
        <v>46256.009212268516</v>
      </c>
      <c r="I74" s="53">
        <v>46256.009851504627</v>
      </c>
      <c r="J74" s="20">
        <f t="shared" si="1"/>
        <v>6.3923611014615744E-4</v>
      </c>
      <c r="K74" s="32" t="s">
        <v>15</v>
      </c>
      <c r="L74" s="25" t="s">
        <v>41</v>
      </c>
      <c r="M74" s="24" t="s">
        <v>16</v>
      </c>
      <c r="N74" s="24" t="s">
        <v>17</v>
      </c>
      <c r="O74" s="35" t="s">
        <v>18</v>
      </c>
    </row>
    <row r="75" spans="2:16" s="16" customFormat="1" x14ac:dyDescent="0.25">
      <c r="B75" s="12">
        <v>46256</v>
      </c>
      <c r="C75" s="11" t="s">
        <v>109</v>
      </c>
      <c r="D75" s="11" t="s">
        <v>82</v>
      </c>
      <c r="E75" s="11" t="s">
        <v>110</v>
      </c>
      <c r="F75" s="11" t="s">
        <v>124</v>
      </c>
      <c r="G75" s="11" t="s">
        <v>14</v>
      </c>
      <c r="H75" s="53">
        <v>46256.014220949073</v>
      </c>
      <c r="I75" s="53">
        <v>46256.014533449073</v>
      </c>
      <c r="J75" s="20">
        <f t="shared" si="1"/>
        <v>3.125000002910383E-4</v>
      </c>
      <c r="K75" s="32" t="s">
        <v>15</v>
      </c>
      <c r="L75" s="25" t="s">
        <v>44</v>
      </c>
      <c r="M75" s="24" t="s">
        <v>16</v>
      </c>
      <c r="N75" s="24" t="s">
        <v>17</v>
      </c>
      <c r="O75" s="35" t="s">
        <v>18</v>
      </c>
    </row>
    <row r="76" spans="2:16" s="16" customFormat="1" x14ac:dyDescent="0.25">
      <c r="B76" s="12">
        <v>46256</v>
      </c>
      <c r="C76" s="11" t="s">
        <v>109</v>
      </c>
      <c r="D76" s="11" t="s">
        <v>82</v>
      </c>
      <c r="E76" s="11" t="s">
        <v>110</v>
      </c>
      <c r="F76" s="11" t="s">
        <v>124</v>
      </c>
      <c r="G76" s="11" t="s">
        <v>19</v>
      </c>
      <c r="H76" s="53">
        <v>46256.014683564812</v>
      </c>
      <c r="I76" s="53">
        <v>46256.016131481483</v>
      </c>
      <c r="J76" s="20">
        <f t="shared" si="1"/>
        <v>1.4479166711680591E-3</v>
      </c>
      <c r="K76" s="32" t="s">
        <v>15</v>
      </c>
      <c r="L76" s="25" t="s">
        <v>44</v>
      </c>
      <c r="M76" s="24" t="s">
        <v>16</v>
      </c>
      <c r="N76" s="24" t="s">
        <v>17</v>
      </c>
      <c r="O76" s="35" t="s">
        <v>18</v>
      </c>
    </row>
    <row r="77" spans="2:16" s="16" customFormat="1" x14ac:dyDescent="0.25">
      <c r="B77" s="12">
        <v>46256</v>
      </c>
      <c r="C77" s="11" t="s">
        <v>109</v>
      </c>
      <c r="D77" s="11" t="s">
        <v>82</v>
      </c>
      <c r="E77" s="11" t="s">
        <v>110</v>
      </c>
      <c r="F77" s="11" t="s">
        <v>124</v>
      </c>
      <c r="G77" s="11" t="s">
        <v>20</v>
      </c>
      <c r="H77" s="53">
        <v>46256.016206712964</v>
      </c>
      <c r="I77" s="53">
        <v>46256.016452430558</v>
      </c>
      <c r="J77" s="20">
        <f t="shared" si="1"/>
        <v>2.4571759422542527E-4</v>
      </c>
      <c r="K77" s="32" t="s">
        <v>15</v>
      </c>
      <c r="L77" s="25" t="s">
        <v>44</v>
      </c>
      <c r="M77" s="24" t="s">
        <v>16</v>
      </c>
      <c r="N77" s="24" t="s">
        <v>17</v>
      </c>
      <c r="O77" s="35" t="s">
        <v>18</v>
      </c>
    </row>
    <row r="78" spans="2:16" s="16" customFormat="1" x14ac:dyDescent="0.25">
      <c r="B78" s="12">
        <v>46256</v>
      </c>
      <c r="C78" s="11" t="s">
        <v>109</v>
      </c>
      <c r="D78" s="11" t="s">
        <v>82</v>
      </c>
      <c r="E78" s="11" t="s">
        <v>110</v>
      </c>
      <c r="F78" s="11" t="s">
        <v>124</v>
      </c>
      <c r="G78" s="11" t="s">
        <v>21</v>
      </c>
      <c r="H78" s="53">
        <v>46256.016503240739</v>
      </c>
      <c r="I78" s="53">
        <v>46256.018793171294</v>
      </c>
      <c r="J78" s="20">
        <f t="shared" si="1"/>
        <v>2.2899305549799465E-3</v>
      </c>
      <c r="K78" s="32" t="s">
        <v>15</v>
      </c>
      <c r="L78" s="25" t="s">
        <v>41</v>
      </c>
      <c r="M78" s="24" t="s">
        <v>16</v>
      </c>
      <c r="N78" s="24" t="s">
        <v>17</v>
      </c>
      <c r="O78" s="35" t="s">
        <v>18</v>
      </c>
    </row>
    <row r="79" spans="2:16" s="16" customFormat="1" x14ac:dyDescent="0.25">
      <c r="B79" s="12">
        <v>46256</v>
      </c>
      <c r="C79" s="11" t="s">
        <v>109</v>
      </c>
      <c r="D79" s="11" t="s">
        <v>82</v>
      </c>
      <c r="E79" s="11" t="s">
        <v>110</v>
      </c>
      <c r="F79" s="11" t="s">
        <v>124</v>
      </c>
      <c r="G79" s="11" t="s">
        <v>42</v>
      </c>
      <c r="H79" s="53">
        <v>46256.018837962962</v>
      </c>
      <c r="I79" s="53">
        <v>46256.019393055554</v>
      </c>
      <c r="J79" s="20">
        <f t="shared" si="1"/>
        <v>5.5509259254904464E-4</v>
      </c>
      <c r="K79" s="32" t="s">
        <v>15</v>
      </c>
      <c r="L79" s="25" t="s">
        <v>41</v>
      </c>
      <c r="M79" s="24" t="s">
        <v>16</v>
      </c>
      <c r="N79" s="24" t="s">
        <v>17</v>
      </c>
      <c r="O79" s="35" t="s">
        <v>18</v>
      </c>
    </row>
    <row r="80" spans="2:16" s="16" customFormat="1" x14ac:dyDescent="0.25">
      <c r="B80" s="12">
        <v>46256</v>
      </c>
      <c r="C80" s="11" t="s">
        <v>109</v>
      </c>
      <c r="D80" s="11" t="s">
        <v>82</v>
      </c>
      <c r="E80" s="11" t="s">
        <v>110</v>
      </c>
      <c r="F80" s="11" t="s">
        <v>124</v>
      </c>
      <c r="G80" s="11" t="s">
        <v>112</v>
      </c>
      <c r="H80" s="53">
        <v>46256.019467824073</v>
      </c>
      <c r="I80" s="53">
        <v>46256.019972800925</v>
      </c>
      <c r="J80" s="20">
        <f t="shared" si="1"/>
        <v>5.0497685151640326E-4</v>
      </c>
      <c r="K80" s="32" t="s">
        <v>15</v>
      </c>
      <c r="L80" s="25" t="s">
        <v>41</v>
      </c>
      <c r="M80" s="24" t="s">
        <v>16</v>
      </c>
      <c r="N80" s="24" t="s">
        <v>17</v>
      </c>
      <c r="O80" s="35" t="s">
        <v>18</v>
      </c>
      <c r="P80" s="6"/>
    </row>
    <row r="81" spans="2:16" s="16" customFormat="1" x14ac:dyDescent="0.25">
      <c r="B81" s="12">
        <v>46256</v>
      </c>
      <c r="C81" s="11" t="s">
        <v>109</v>
      </c>
      <c r="D81" s="11" t="s">
        <v>82</v>
      </c>
      <c r="E81" s="11" t="s">
        <v>110</v>
      </c>
      <c r="F81" s="11" t="s">
        <v>124</v>
      </c>
      <c r="G81" s="11" t="s">
        <v>22</v>
      </c>
      <c r="H81" s="53">
        <v>46256.020235416669</v>
      </c>
      <c r="I81" s="53">
        <v>46256.020607060185</v>
      </c>
      <c r="J81" s="20">
        <f t="shared" si="1"/>
        <v>3.7164351670071483E-4</v>
      </c>
      <c r="K81" s="32" t="s">
        <v>15</v>
      </c>
      <c r="L81" s="25" t="s">
        <v>44</v>
      </c>
      <c r="M81" s="24" t="s">
        <v>16</v>
      </c>
      <c r="N81" s="24" t="s">
        <v>17</v>
      </c>
      <c r="O81" s="35" t="s">
        <v>18</v>
      </c>
      <c r="P81" s="6"/>
    </row>
    <row r="82" spans="2:16" s="16" customFormat="1" x14ac:dyDescent="0.25">
      <c r="B82" s="12">
        <v>46256</v>
      </c>
      <c r="C82" s="11" t="s">
        <v>109</v>
      </c>
      <c r="D82" s="11" t="s">
        <v>82</v>
      </c>
      <c r="E82" s="11" t="s">
        <v>110</v>
      </c>
      <c r="F82" s="11" t="s">
        <v>124</v>
      </c>
      <c r="G82" s="11" t="s">
        <v>43</v>
      </c>
      <c r="H82" s="53">
        <v>46256.020930208331</v>
      </c>
      <c r="I82" s="53">
        <v>46256.021817824076</v>
      </c>
      <c r="J82" s="20">
        <f t="shared" si="1"/>
        <v>8.8761574443196878E-4</v>
      </c>
      <c r="K82" s="32" t="s">
        <v>15</v>
      </c>
      <c r="L82" s="25" t="s">
        <v>41</v>
      </c>
      <c r="M82" s="24" t="s">
        <v>16</v>
      </c>
      <c r="N82" s="24" t="s">
        <v>17</v>
      </c>
      <c r="O82" s="35" t="s">
        <v>18</v>
      </c>
      <c r="P82" s="6"/>
    </row>
    <row r="83" spans="2:16" s="16" customFormat="1" x14ac:dyDescent="0.25">
      <c r="B83" s="12">
        <v>46256</v>
      </c>
      <c r="C83" s="11" t="s">
        <v>109</v>
      </c>
      <c r="D83" s="11" t="s">
        <v>82</v>
      </c>
      <c r="E83" s="11" t="s">
        <v>110</v>
      </c>
      <c r="F83" s="11" t="s">
        <v>124</v>
      </c>
      <c r="G83" s="11" t="s">
        <v>23</v>
      </c>
      <c r="H83" s="53">
        <v>46256.021863657406</v>
      </c>
      <c r="I83" s="53">
        <v>46256.022518634258</v>
      </c>
      <c r="J83" s="20">
        <f t="shared" si="1"/>
        <v>6.5497685136506334E-4</v>
      </c>
      <c r="K83" s="32" t="s">
        <v>15</v>
      </c>
      <c r="L83" s="25" t="s">
        <v>41</v>
      </c>
      <c r="M83" s="24" t="s">
        <v>16</v>
      </c>
      <c r="N83" s="24" t="s">
        <v>17</v>
      </c>
      <c r="O83" s="35" t="s">
        <v>18</v>
      </c>
      <c r="P83" s="6"/>
    </row>
    <row r="84" spans="2:16" s="16" customFormat="1" x14ac:dyDescent="0.25">
      <c r="B84" s="12">
        <v>46256</v>
      </c>
      <c r="C84" s="11" t="s">
        <v>109</v>
      </c>
      <c r="D84" s="11" t="s">
        <v>82</v>
      </c>
      <c r="E84" s="11" t="s">
        <v>110</v>
      </c>
      <c r="F84" s="11" t="s">
        <v>124</v>
      </c>
      <c r="G84" s="11" t="s">
        <v>113</v>
      </c>
      <c r="H84" s="53">
        <v>46256.022550462963</v>
      </c>
      <c r="I84" s="53">
        <v>46256.023183449077</v>
      </c>
      <c r="J84" s="20">
        <f t="shared" si="1"/>
        <v>6.3298611348727718E-4</v>
      </c>
      <c r="K84" s="32" t="s">
        <v>15</v>
      </c>
      <c r="L84" s="25" t="s">
        <v>41</v>
      </c>
      <c r="M84" s="24" t="s">
        <v>16</v>
      </c>
      <c r="N84" s="24" t="s">
        <v>17</v>
      </c>
      <c r="O84" s="35" t="s">
        <v>18</v>
      </c>
      <c r="P84" s="6"/>
    </row>
    <row r="85" spans="2:16" s="16" customFormat="1" x14ac:dyDescent="0.25">
      <c r="B85" s="12">
        <v>46256</v>
      </c>
      <c r="C85" s="11" t="s">
        <v>109</v>
      </c>
      <c r="D85" s="11" t="s">
        <v>82</v>
      </c>
      <c r="E85" s="11" t="s">
        <v>110</v>
      </c>
      <c r="F85" s="11" t="s">
        <v>124</v>
      </c>
      <c r="G85" s="11" t="s">
        <v>24</v>
      </c>
      <c r="H85" s="53">
        <v>46256.023218750001</v>
      </c>
      <c r="I85" s="53">
        <v>46256.023631944445</v>
      </c>
      <c r="J85" s="20">
        <f t="shared" si="1"/>
        <v>4.1319444426335394E-4</v>
      </c>
      <c r="K85" s="32" t="s">
        <v>15</v>
      </c>
      <c r="L85" s="25" t="s">
        <v>41</v>
      </c>
      <c r="M85" s="24" t="s">
        <v>16</v>
      </c>
      <c r="N85" s="24" t="s">
        <v>17</v>
      </c>
      <c r="O85" s="35" t="s">
        <v>18</v>
      </c>
      <c r="P85" s="6"/>
    </row>
    <row r="86" spans="2:16" s="16" customFormat="1" x14ac:dyDescent="0.25">
      <c r="B86" s="12">
        <v>46256</v>
      </c>
      <c r="C86" s="11" t="s">
        <v>109</v>
      </c>
      <c r="D86" s="11" t="s">
        <v>82</v>
      </c>
      <c r="E86" s="11" t="s">
        <v>110</v>
      </c>
      <c r="F86" s="11" t="s">
        <v>124</v>
      </c>
      <c r="G86" s="11" t="s">
        <v>25</v>
      </c>
      <c r="H86" s="53">
        <v>46256.023787152779</v>
      </c>
      <c r="I86" s="53">
        <v>46256.025349189818</v>
      </c>
      <c r="J86" s="20">
        <f t="shared" si="1"/>
        <v>1.5620370395481586E-3</v>
      </c>
      <c r="K86" s="32" t="s">
        <v>15</v>
      </c>
      <c r="L86" s="25" t="s">
        <v>41</v>
      </c>
      <c r="M86" s="24" t="s">
        <v>16</v>
      </c>
      <c r="N86" s="24" t="s">
        <v>17</v>
      </c>
      <c r="O86" s="35" t="s">
        <v>18</v>
      </c>
      <c r="P86" s="6"/>
    </row>
    <row r="87" spans="2:16" s="16" customFormat="1" x14ac:dyDescent="0.25">
      <c r="B87" s="12">
        <v>46256</v>
      </c>
      <c r="C87" s="11" t="s">
        <v>109</v>
      </c>
      <c r="D87" s="11" t="s">
        <v>82</v>
      </c>
      <c r="E87" s="11" t="s">
        <v>110</v>
      </c>
      <c r="F87" s="11" t="s">
        <v>124</v>
      </c>
      <c r="G87" s="11" t="s">
        <v>114</v>
      </c>
      <c r="H87" s="53">
        <v>46256.025379629631</v>
      </c>
      <c r="I87" s="53">
        <v>46256.025461342593</v>
      </c>
      <c r="J87" s="20">
        <f t="shared" si="1"/>
        <v>8.1712962128221989E-5</v>
      </c>
      <c r="K87" s="32" t="s">
        <v>15</v>
      </c>
      <c r="L87" s="25" t="s">
        <v>44</v>
      </c>
      <c r="M87" s="24" t="s">
        <v>16</v>
      </c>
      <c r="N87" s="24" t="s">
        <v>17</v>
      </c>
      <c r="O87" s="35" t="s">
        <v>18</v>
      </c>
      <c r="P87" s="6"/>
    </row>
    <row r="88" spans="2:16" s="16" customFormat="1" x14ac:dyDescent="0.25">
      <c r="B88" s="12">
        <v>46256</v>
      </c>
      <c r="C88" s="11" t="s">
        <v>109</v>
      </c>
      <c r="D88" s="11" t="s">
        <v>82</v>
      </c>
      <c r="E88" s="11" t="s">
        <v>110</v>
      </c>
      <c r="F88" s="11" t="s">
        <v>124</v>
      </c>
      <c r="G88" s="11" t="s">
        <v>26</v>
      </c>
      <c r="H88" s="53">
        <v>46256.025483796293</v>
      </c>
      <c r="I88" s="53">
        <v>46256.025588194447</v>
      </c>
      <c r="J88" s="20">
        <f t="shared" si="1"/>
        <v>1.0439815378049389E-4</v>
      </c>
      <c r="K88" s="32" t="s">
        <v>15</v>
      </c>
      <c r="L88" s="25" t="s">
        <v>44</v>
      </c>
      <c r="M88" s="24" t="s">
        <v>16</v>
      </c>
      <c r="N88" s="24" t="s">
        <v>17</v>
      </c>
      <c r="O88" s="35" t="s">
        <v>18</v>
      </c>
      <c r="P88" s="6"/>
    </row>
    <row r="89" spans="2:16" s="16" customFormat="1" x14ac:dyDescent="0.25">
      <c r="B89" s="12">
        <v>46256</v>
      </c>
      <c r="C89" s="11" t="s">
        <v>109</v>
      </c>
      <c r="D89" s="11" t="s">
        <v>82</v>
      </c>
      <c r="E89" s="11" t="s">
        <v>110</v>
      </c>
      <c r="F89" s="11" t="s">
        <v>124</v>
      </c>
      <c r="G89" s="11" t="s">
        <v>115</v>
      </c>
      <c r="H89" s="53">
        <v>46256.02561261574</v>
      </c>
      <c r="I89" s="53">
        <v>46256.025680439816</v>
      </c>
      <c r="J89" s="20">
        <f t="shared" si="1"/>
        <v>6.7824075813405216E-5</v>
      </c>
      <c r="K89" s="32" t="s">
        <v>15</v>
      </c>
      <c r="L89" s="25" t="s">
        <v>41</v>
      </c>
      <c r="M89" s="24" t="s">
        <v>16</v>
      </c>
      <c r="N89" s="24" t="s">
        <v>17</v>
      </c>
      <c r="O89" s="35" t="s">
        <v>18</v>
      </c>
      <c r="P89" s="6"/>
    </row>
    <row r="90" spans="2:16" s="16" customFormat="1" x14ac:dyDescent="0.25">
      <c r="B90" s="12">
        <v>46256</v>
      </c>
      <c r="C90" s="11" t="s">
        <v>109</v>
      </c>
      <c r="D90" s="11" t="s">
        <v>82</v>
      </c>
      <c r="E90" s="11" t="s">
        <v>110</v>
      </c>
      <c r="F90" s="11" t="s">
        <v>124</v>
      </c>
      <c r="G90" s="11" t="s">
        <v>116</v>
      </c>
      <c r="H90" s="53">
        <v>46256.0257025463</v>
      </c>
      <c r="I90" s="53">
        <v>46256.033291087966</v>
      </c>
      <c r="J90" s="20">
        <f t="shared" si="1"/>
        <v>7.5885416663368233E-3</v>
      </c>
      <c r="K90" s="32" t="s">
        <v>15</v>
      </c>
      <c r="L90" s="25" t="s">
        <v>44</v>
      </c>
      <c r="M90" s="24" t="s">
        <v>16</v>
      </c>
      <c r="N90" s="24" t="s">
        <v>17</v>
      </c>
      <c r="O90" s="35" t="s">
        <v>18</v>
      </c>
      <c r="P90" s="6"/>
    </row>
    <row r="91" spans="2:16" s="16" customFormat="1" x14ac:dyDescent="0.25">
      <c r="B91" s="12">
        <v>46256</v>
      </c>
      <c r="C91" s="11" t="s">
        <v>109</v>
      </c>
      <c r="D91" s="11" t="s">
        <v>82</v>
      </c>
      <c r="E91" s="11" t="s">
        <v>110</v>
      </c>
      <c r="F91" s="11" t="s">
        <v>124</v>
      </c>
      <c r="G91" s="11" t="s">
        <v>117</v>
      </c>
      <c r="H91" s="53">
        <v>46256.033330787039</v>
      </c>
      <c r="I91" s="53">
        <v>46256.042323263886</v>
      </c>
      <c r="J91" s="20">
        <f t="shared" si="1"/>
        <v>8.9924768471973948E-3</v>
      </c>
      <c r="K91" s="32" t="s">
        <v>15</v>
      </c>
      <c r="L91" s="25" t="s">
        <v>41</v>
      </c>
      <c r="M91" s="24" t="s">
        <v>16</v>
      </c>
      <c r="N91" s="24" t="s">
        <v>17</v>
      </c>
      <c r="O91" s="35" t="s">
        <v>18</v>
      </c>
      <c r="P91" s="6"/>
    </row>
    <row r="92" spans="2:16" s="16" customFormat="1" x14ac:dyDescent="0.25">
      <c r="B92" s="12">
        <v>46256</v>
      </c>
      <c r="C92" s="11" t="s">
        <v>109</v>
      </c>
      <c r="D92" s="11" t="s">
        <v>82</v>
      </c>
      <c r="E92" s="11" t="s">
        <v>110</v>
      </c>
      <c r="F92" s="11" t="s">
        <v>124</v>
      </c>
      <c r="G92" s="11" t="s">
        <v>118</v>
      </c>
      <c r="H92" s="53">
        <v>46256.042375347221</v>
      </c>
      <c r="I92" s="53">
        <v>46256.043855787037</v>
      </c>
      <c r="J92" s="20">
        <f t="shared" si="1"/>
        <v>1.4804398160777055E-3</v>
      </c>
      <c r="K92" s="32" t="s">
        <v>15</v>
      </c>
      <c r="L92" s="25" t="s">
        <v>41</v>
      </c>
      <c r="M92" s="24" t="s">
        <v>16</v>
      </c>
      <c r="N92" s="24" t="s">
        <v>17</v>
      </c>
      <c r="O92" s="35" t="s">
        <v>18</v>
      </c>
      <c r="P92" s="6"/>
    </row>
    <row r="93" spans="2:16" s="16" customFormat="1" x14ac:dyDescent="0.25">
      <c r="B93" s="12">
        <v>46256</v>
      </c>
      <c r="C93" s="11" t="s">
        <v>109</v>
      </c>
      <c r="D93" s="11" t="s">
        <v>82</v>
      </c>
      <c r="E93" s="11" t="s">
        <v>110</v>
      </c>
      <c r="F93" s="11" t="s">
        <v>124</v>
      </c>
      <c r="G93" s="11" t="s">
        <v>119</v>
      </c>
      <c r="H93" s="53">
        <v>46256.043897337964</v>
      </c>
      <c r="I93" s="53">
        <v>46256.043978472226</v>
      </c>
      <c r="J93" s="20">
        <f t="shared" si="1"/>
        <v>8.1134261563420296E-5</v>
      </c>
      <c r="K93" s="32" t="s">
        <v>15</v>
      </c>
      <c r="L93" s="25" t="s">
        <v>41</v>
      </c>
      <c r="M93" s="24" t="s">
        <v>16</v>
      </c>
      <c r="N93" s="24" t="s">
        <v>17</v>
      </c>
      <c r="O93" s="35" t="s">
        <v>18</v>
      </c>
      <c r="P93" s="6"/>
    </row>
    <row r="94" spans="2:16" s="16" customFormat="1" x14ac:dyDescent="0.25">
      <c r="B94" s="12">
        <v>46256</v>
      </c>
      <c r="C94" s="11" t="s">
        <v>109</v>
      </c>
      <c r="D94" s="11" t="s">
        <v>82</v>
      </c>
      <c r="E94" s="11" t="s">
        <v>110</v>
      </c>
      <c r="F94" s="11" t="s">
        <v>124</v>
      </c>
      <c r="G94" s="11" t="s">
        <v>120</v>
      </c>
      <c r="H94" s="53">
        <v>46256.043994791668</v>
      </c>
      <c r="I94" s="53">
        <v>46256.044048958334</v>
      </c>
      <c r="J94" s="20">
        <f t="shared" si="1"/>
        <v>5.4166666814126074E-5</v>
      </c>
      <c r="K94" s="32" t="s">
        <v>15</v>
      </c>
      <c r="L94" s="25" t="s">
        <v>44</v>
      </c>
      <c r="M94" s="24" t="s">
        <v>16</v>
      </c>
      <c r="N94" s="24" t="s">
        <v>17</v>
      </c>
      <c r="O94" s="35" t="s">
        <v>18</v>
      </c>
      <c r="P94" s="6"/>
    </row>
    <row r="95" spans="2:16" s="16" customFormat="1" x14ac:dyDescent="0.25">
      <c r="B95" s="12">
        <v>46256</v>
      </c>
      <c r="C95" s="11" t="s">
        <v>109</v>
      </c>
      <c r="D95" s="11" t="s">
        <v>82</v>
      </c>
      <c r="E95" s="11" t="s">
        <v>110</v>
      </c>
      <c r="F95" s="11" t="s">
        <v>124</v>
      </c>
      <c r="G95" s="11" t="s">
        <v>27</v>
      </c>
      <c r="H95" s="53">
        <v>46256.044068055555</v>
      </c>
      <c r="I95" s="53">
        <v>46256.044357986109</v>
      </c>
      <c r="J95" s="20">
        <f t="shared" si="1"/>
        <v>2.8993055457249284E-4</v>
      </c>
      <c r="K95" s="32" t="s">
        <v>15</v>
      </c>
      <c r="L95" s="25" t="s">
        <v>44</v>
      </c>
      <c r="M95" s="24" t="s">
        <v>16</v>
      </c>
      <c r="N95" s="24" t="s">
        <v>17</v>
      </c>
      <c r="O95" s="35" t="s">
        <v>18</v>
      </c>
      <c r="P95" s="6"/>
    </row>
    <row r="96" spans="2:16" s="16" customFormat="1" x14ac:dyDescent="0.25">
      <c r="B96" s="12">
        <v>46256</v>
      </c>
      <c r="C96" s="11" t="s">
        <v>109</v>
      </c>
      <c r="D96" s="11" t="s">
        <v>82</v>
      </c>
      <c r="E96" s="11" t="s">
        <v>110</v>
      </c>
      <c r="F96" s="11" t="s">
        <v>124</v>
      </c>
      <c r="G96" s="11" t="s">
        <v>28</v>
      </c>
      <c r="H96" s="53">
        <v>46256.044383680557</v>
      </c>
      <c r="I96" s="53">
        <v>46256.045554050928</v>
      </c>
      <c r="J96" s="20">
        <f t="shared" si="1"/>
        <v>1.170370371255558E-3</v>
      </c>
      <c r="K96" s="32" t="s">
        <v>15</v>
      </c>
      <c r="L96" s="25" t="s">
        <v>44</v>
      </c>
      <c r="M96" s="24" t="s">
        <v>16</v>
      </c>
      <c r="N96" s="24" t="s">
        <v>17</v>
      </c>
      <c r="O96" s="35" t="s">
        <v>18</v>
      </c>
      <c r="P96" s="6"/>
    </row>
    <row r="97" spans="2:16" s="16" customFormat="1" x14ac:dyDescent="0.25">
      <c r="B97" s="12">
        <v>46256</v>
      </c>
      <c r="C97" s="11" t="s">
        <v>109</v>
      </c>
      <c r="D97" s="11" t="s">
        <v>82</v>
      </c>
      <c r="E97" s="11" t="s">
        <v>110</v>
      </c>
      <c r="F97" s="11" t="s">
        <v>124</v>
      </c>
      <c r="G97" s="11" t="s">
        <v>29</v>
      </c>
      <c r="H97" s="53">
        <v>46256.045592824077</v>
      </c>
      <c r="I97" s="53">
        <v>46256.045608101849</v>
      </c>
      <c r="J97" s="20">
        <f t="shared" si="1"/>
        <v>1.5277772035915405E-5</v>
      </c>
      <c r="K97" s="32" t="s">
        <v>15</v>
      </c>
      <c r="L97" s="25" t="s">
        <v>41</v>
      </c>
      <c r="M97" s="24" t="s">
        <v>16</v>
      </c>
      <c r="N97" s="24" t="s">
        <v>17</v>
      </c>
      <c r="O97" s="35" t="s">
        <v>18</v>
      </c>
      <c r="P97" s="6"/>
    </row>
    <row r="98" spans="2:16" s="16" customFormat="1" x14ac:dyDescent="0.25">
      <c r="B98" s="12">
        <v>46256</v>
      </c>
      <c r="C98" s="11" t="s">
        <v>109</v>
      </c>
      <c r="D98" s="11" t="s">
        <v>82</v>
      </c>
      <c r="E98" s="11" t="s">
        <v>110</v>
      </c>
      <c r="F98" s="11" t="s">
        <v>124</v>
      </c>
      <c r="G98" s="11" t="s">
        <v>45</v>
      </c>
      <c r="H98" s="53">
        <v>46256.045626736108</v>
      </c>
      <c r="I98" s="53">
        <v>46256.047118055554</v>
      </c>
      <c r="J98" s="20">
        <f t="shared" si="1"/>
        <v>1.4913194463588297E-3</v>
      </c>
      <c r="K98" s="32" t="s">
        <v>15</v>
      </c>
      <c r="L98" s="25" t="s">
        <v>41</v>
      </c>
      <c r="M98" s="24" t="s">
        <v>16</v>
      </c>
      <c r="N98" s="24" t="s">
        <v>17</v>
      </c>
      <c r="O98" s="35" t="s">
        <v>18</v>
      </c>
      <c r="P98" s="6"/>
    </row>
    <row r="99" spans="2:16" s="16" customFormat="1" x14ac:dyDescent="0.25">
      <c r="B99" s="12">
        <v>46256</v>
      </c>
      <c r="C99" s="11" t="s">
        <v>109</v>
      </c>
      <c r="D99" s="11" t="s">
        <v>82</v>
      </c>
      <c r="E99" s="11" t="s">
        <v>110</v>
      </c>
      <c r="F99" s="11" t="s">
        <v>124</v>
      </c>
      <c r="G99" s="11" t="s">
        <v>121</v>
      </c>
      <c r="H99" s="53">
        <v>46256.054226157408</v>
      </c>
      <c r="I99" s="53">
        <v>46256.054255324074</v>
      </c>
      <c r="J99" s="20">
        <f t="shared" si="1"/>
        <v>2.9166665626689792E-5</v>
      </c>
      <c r="K99" s="32" t="s">
        <v>15</v>
      </c>
      <c r="L99" s="25" t="s">
        <v>41</v>
      </c>
      <c r="M99" s="24" t="s">
        <v>16</v>
      </c>
      <c r="N99" s="24" t="s">
        <v>17</v>
      </c>
      <c r="O99" s="35" t="s">
        <v>18</v>
      </c>
      <c r="P99" s="6"/>
    </row>
    <row r="100" spans="2:16" s="16" customFormat="1" x14ac:dyDescent="0.25">
      <c r="B100" s="12">
        <v>46256</v>
      </c>
      <c r="C100" s="11" t="s">
        <v>109</v>
      </c>
      <c r="D100" s="11" t="s">
        <v>82</v>
      </c>
      <c r="E100" s="11" t="s">
        <v>110</v>
      </c>
      <c r="F100" s="11" t="s">
        <v>124</v>
      </c>
      <c r="G100" s="11" t="s">
        <v>30</v>
      </c>
      <c r="H100" s="53">
        <v>46256.054301504628</v>
      </c>
      <c r="I100" s="53">
        <v>46256.05433900463</v>
      </c>
      <c r="J100" s="20">
        <f t="shared" si="1"/>
        <v>3.7500001781154424E-5</v>
      </c>
      <c r="K100" s="32" t="s">
        <v>15</v>
      </c>
      <c r="L100" s="25" t="s">
        <v>41</v>
      </c>
      <c r="M100" s="24" t="s">
        <v>16</v>
      </c>
      <c r="N100" s="24" t="s">
        <v>17</v>
      </c>
      <c r="O100" s="35" t="s">
        <v>18</v>
      </c>
      <c r="P100" s="6"/>
    </row>
    <row r="101" spans="2:16" s="16" customFormat="1" x14ac:dyDescent="0.25">
      <c r="B101" s="12">
        <v>46256</v>
      </c>
      <c r="C101" s="11" t="s">
        <v>109</v>
      </c>
      <c r="D101" s="11" t="s">
        <v>82</v>
      </c>
      <c r="E101" s="11" t="s">
        <v>110</v>
      </c>
      <c r="F101" s="11" t="s">
        <v>124</v>
      </c>
      <c r="G101" s="11" t="s">
        <v>31</v>
      </c>
      <c r="H101" s="53">
        <v>46256.054363078707</v>
      </c>
      <c r="I101" s="53">
        <v>46256.054520833335</v>
      </c>
      <c r="J101" s="20">
        <f t="shared" si="1"/>
        <v>1.5775462816236541E-4</v>
      </c>
      <c r="K101" s="32" t="s">
        <v>15</v>
      </c>
      <c r="L101" s="25" t="s">
        <v>44</v>
      </c>
      <c r="M101" s="24" t="s">
        <v>16</v>
      </c>
      <c r="N101" s="24" t="s">
        <v>17</v>
      </c>
      <c r="O101" s="35" t="s">
        <v>18</v>
      </c>
      <c r="P101" s="6"/>
    </row>
    <row r="102" spans="2:16" s="16" customFormat="1" x14ac:dyDescent="0.25">
      <c r="B102" s="12">
        <v>46256</v>
      </c>
      <c r="C102" s="11" t="s">
        <v>109</v>
      </c>
      <c r="D102" s="11" t="s">
        <v>82</v>
      </c>
      <c r="E102" s="11" t="s">
        <v>110</v>
      </c>
      <c r="F102" s="11" t="s">
        <v>124</v>
      </c>
      <c r="G102" s="11" t="s">
        <v>122</v>
      </c>
      <c r="H102" s="53">
        <v>46256.054546412037</v>
      </c>
      <c r="I102" s="53">
        <v>46256.054807175926</v>
      </c>
      <c r="J102" s="20">
        <f t="shared" si="1"/>
        <v>2.6076388894580305E-4</v>
      </c>
      <c r="K102" s="32" t="s">
        <v>15</v>
      </c>
      <c r="L102" s="25" t="s">
        <v>41</v>
      </c>
      <c r="M102" s="24" t="s">
        <v>16</v>
      </c>
      <c r="N102" s="24" t="s">
        <v>17</v>
      </c>
      <c r="O102" s="35" t="s">
        <v>18</v>
      </c>
      <c r="P102" s="6"/>
    </row>
    <row r="103" spans="2:16" s="16" customFormat="1" x14ac:dyDescent="0.25">
      <c r="B103" s="12">
        <v>46256</v>
      </c>
      <c r="C103" s="11" t="s">
        <v>109</v>
      </c>
      <c r="D103" s="11" t="s">
        <v>82</v>
      </c>
      <c r="E103" s="11" t="s">
        <v>110</v>
      </c>
      <c r="F103" s="11" t="s">
        <v>124</v>
      </c>
      <c r="G103" s="11" t="s">
        <v>123</v>
      </c>
      <c r="H103" s="53">
        <v>46256.054857870367</v>
      </c>
      <c r="I103" s="53">
        <v>46256.054997800929</v>
      </c>
      <c r="J103" s="20">
        <f t="shared" si="1"/>
        <v>1.3993056199979037E-4</v>
      </c>
      <c r="K103" s="32" t="s">
        <v>15</v>
      </c>
      <c r="L103" s="25" t="s">
        <v>41</v>
      </c>
      <c r="M103" s="24" t="s">
        <v>16</v>
      </c>
      <c r="N103" s="24" t="s">
        <v>17</v>
      </c>
      <c r="O103" s="35" t="s">
        <v>18</v>
      </c>
      <c r="P103" s="6"/>
    </row>
    <row r="104" spans="2:16" s="16" customFormat="1" x14ac:dyDescent="0.25">
      <c r="B104" s="12">
        <v>46256</v>
      </c>
      <c r="C104" s="11" t="s">
        <v>109</v>
      </c>
      <c r="D104" s="11" t="s">
        <v>82</v>
      </c>
      <c r="E104" s="11" t="s">
        <v>110</v>
      </c>
      <c r="F104" s="11" t="s">
        <v>124</v>
      </c>
      <c r="G104" s="11" t="s">
        <v>46</v>
      </c>
      <c r="H104" s="53">
        <v>46256.055022337961</v>
      </c>
      <c r="I104" s="53">
        <v>46256.055106250002</v>
      </c>
      <c r="J104" s="20">
        <f t="shared" si="1"/>
        <v>8.3912040281575173E-5</v>
      </c>
      <c r="K104" s="32" t="s">
        <v>15</v>
      </c>
      <c r="L104" s="25" t="s">
        <v>41</v>
      </c>
      <c r="M104" s="24" t="s">
        <v>16</v>
      </c>
      <c r="N104" s="24" t="s">
        <v>17</v>
      </c>
      <c r="O104" s="35" t="s">
        <v>18</v>
      </c>
      <c r="P104" s="6"/>
    </row>
    <row r="105" spans="2:16" s="16" customFormat="1" x14ac:dyDescent="0.25">
      <c r="B105" s="34"/>
      <c r="C105" s="13"/>
      <c r="D105" s="13"/>
      <c r="E105" s="13"/>
      <c r="F105" s="13"/>
      <c r="G105" s="13"/>
      <c r="H105" s="46"/>
      <c r="I105" s="46"/>
      <c r="J105" s="20">
        <f t="shared" ref="J105:J133" si="2">I105-H105</f>
        <v>0</v>
      </c>
      <c r="K105" s="32"/>
      <c r="L105" s="25" t="e">
        <f>VLOOKUP(G105,#REF!,2,0)</f>
        <v>#REF!</v>
      </c>
      <c r="M105" s="24" t="s">
        <v>16</v>
      </c>
      <c r="N105" s="24" t="s">
        <v>17</v>
      </c>
      <c r="O105" s="14"/>
      <c r="P105" s="6"/>
    </row>
    <row r="106" spans="2:16" s="16" customFormat="1" x14ac:dyDescent="0.25">
      <c r="B106" s="34"/>
      <c r="C106" s="13"/>
      <c r="D106" s="13"/>
      <c r="E106" s="13"/>
      <c r="F106" s="13"/>
      <c r="G106" s="13"/>
      <c r="H106" s="46"/>
      <c r="I106" s="46"/>
      <c r="J106" s="20">
        <f t="shared" si="2"/>
        <v>0</v>
      </c>
      <c r="K106" s="32"/>
      <c r="L106" s="25" t="e">
        <f>VLOOKUP(G106,#REF!,2,0)</f>
        <v>#REF!</v>
      </c>
      <c r="M106" s="24" t="s">
        <v>16</v>
      </c>
      <c r="N106" s="24" t="s">
        <v>17</v>
      </c>
      <c r="O106" s="14"/>
      <c r="P106" s="6"/>
    </row>
    <row r="107" spans="2:16" s="16" customFormat="1" x14ac:dyDescent="0.25">
      <c r="B107" s="34"/>
      <c r="C107" s="13"/>
      <c r="D107" s="13"/>
      <c r="E107" s="13"/>
      <c r="F107" s="13"/>
      <c r="G107" s="13"/>
      <c r="H107" s="46"/>
      <c r="I107" s="46"/>
      <c r="J107" s="20">
        <f t="shared" si="2"/>
        <v>0</v>
      </c>
      <c r="K107" s="32"/>
      <c r="L107" s="25" t="e">
        <f>VLOOKUP(G107,#REF!,2,0)</f>
        <v>#REF!</v>
      </c>
      <c r="M107" s="24" t="s">
        <v>16</v>
      </c>
      <c r="N107" s="24" t="s">
        <v>17</v>
      </c>
      <c r="O107" s="14"/>
      <c r="P107" s="6"/>
    </row>
    <row r="108" spans="2:16" s="16" customFormat="1" x14ac:dyDescent="0.25">
      <c r="B108" s="34"/>
      <c r="C108" s="13"/>
      <c r="D108" s="13"/>
      <c r="E108" s="13"/>
      <c r="F108" s="13"/>
      <c r="G108" s="13"/>
      <c r="H108" s="46"/>
      <c r="I108" s="46"/>
      <c r="J108" s="20">
        <f t="shared" si="2"/>
        <v>0</v>
      </c>
      <c r="K108" s="32"/>
      <c r="L108" s="25" t="e">
        <f>VLOOKUP(G108,#REF!,2,0)</f>
        <v>#REF!</v>
      </c>
      <c r="M108" s="24" t="s">
        <v>16</v>
      </c>
      <c r="N108" s="24" t="s">
        <v>17</v>
      </c>
      <c r="O108" s="14"/>
      <c r="P108" s="6"/>
    </row>
    <row r="109" spans="2:16" s="16" customFormat="1" x14ac:dyDescent="0.25">
      <c r="B109" s="34"/>
      <c r="C109" s="13"/>
      <c r="D109" s="13"/>
      <c r="E109" s="13"/>
      <c r="F109" s="13"/>
      <c r="G109" s="13"/>
      <c r="H109" s="46"/>
      <c r="I109" s="46"/>
      <c r="J109" s="20">
        <f t="shared" si="2"/>
        <v>0</v>
      </c>
      <c r="K109" s="32"/>
      <c r="L109" s="25" t="e">
        <f>VLOOKUP(G109,#REF!,2,0)</f>
        <v>#REF!</v>
      </c>
      <c r="M109" s="24" t="s">
        <v>16</v>
      </c>
      <c r="N109" s="24" t="s">
        <v>17</v>
      </c>
      <c r="O109" s="14"/>
      <c r="P109" s="6"/>
    </row>
    <row r="110" spans="2:16" s="16" customFormat="1" x14ac:dyDescent="0.25">
      <c r="B110" s="34"/>
      <c r="C110" s="13"/>
      <c r="D110" s="13"/>
      <c r="E110" s="13"/>
      <c r="F110" s="13"/>
      <c r="G110" s="13"/>
      <c r="H110" s="46"/>
      <c r="I110" s="46"/>
      <c r="J110" s="20">
        <f t="shared" si="2"/>
        <v>0</v>
      </c>
      <c r="K110" s="32"/>
      <c r="L110" s="25" t="e">
        <f>VLOOKUP(G110,#REF!,2,0)</f>
        <v>#REF!</v>
      </c>
      <c r="M110" s="24" t="s">
        <v>16</v>
      </c>
      <c r="N110" s="24" t="s">
        <v>17</v>
      </c>
      <c r="O110" s="14"/>
      <c r="P110" s="6"/>
    </row>
    <row r="111" spans="2:16" s="16" customFormat="1" x14ac:dyDescent="0.25">
      <c r="B111" s="34"/>
      <c r="C111" s="13"/>
      <c r="D111" s="13"/>
      <c r="E111" s="13"/>
      <c r="F111" s="13"/>
      <c r="G111" s="13"/>
      <c r="H111" s="46"/>
      <c r="I111" s="46"/>
      <c r="J111" s="20">
        <f t="shared" si="2"/>
        <v>0</v>
      </c>
      <c r="K111" s="32"/>
      <c r="L111" s="25" t="e">
        <f>VLOOKUP(G111,#REF!,2,0)</f>
        <v>#REF!</v>
      </c>
      <c r="M111" s="24" t="s">
        <v>16</v>
      </c>
      <c r="N111" s="24" t="s">
        <v>17</v>
      </c>
      <c r="O111" s="14"/>
      <c r="P111" s="6"/>
    </row>
    <row r="112" spans="2:16" s="16" customFormat="1" x14ac:dyDescent="0.25">
      <c r="B112" s="34"/>
      <c r="C112" s="13"/>
      <c r="D112" s="13"/>
      <c r="E112" s="13"/>
      <c r="F112" s="13"/>
      <c r="G112" s="13"/>
      <c r="H112" s="46"/>
      <c r="I112" s="46"/>
      <c r="J112" s="20">
        <f t="shared" si="2"/>
        <v>0</v>
      </c>
      <c r="K112" s="32"/>
      <c r="L112" s="25" t="e">
        <f>VLOOKUP(G112,#REF!,2,0)</f>
        <v>#REF!</v>
      </c>
      <c r="M112" s="24" t="s">
        <v>16</v>
      </c>
      <c r="N112" s="24" t="s">
        <v>17</v>
      </c>
      <c r="O112" s="14"/>
      <c r="P112" s="6"/>
    </row>
    <row r="113" spans="2:16" s="16" customFormat="1" x14ac:dyDescent="0.25">
      <c r="B113" s="34"/>
      <c r="C113" s="13"/>
      <c r="D113" s="13"/>
      <c r="E113" s="13"/>
      <c r="F113" s="13"/>
      <c r="G113" s="13"/>
      <c r="H113" s="46"/>
      <c r="I113" s="46"/>
      <c r="J113" s="20">
        <f t="shared" si="2"/>
        <v>0</v>
      </c>
      <c r="K113" s="32"/>
      <c r="L113" s="25" t="e">
        <f>VLOOKUP(G113,#REF!,2,0)</f>
        <v>#REF!</v>
      </c>
      <c r="M113" s="24" t="s">
        <v>16</v>
      </c>
      <c r="N113" s="24" t="s">
        <v>17</v>
      </c>
      <c r="O113" s="14"/>
      <c r="P113" s="6"/>
    </row>
    <row r="114" spans="2:16" s="16" customFormat="1" x14ac:dyDescent="0.25">
      <c r="B114" s="34"/>
      <c r="C114" s="13"/>
      <c r="D114" s="13"/>
      <c r="E114" s="13"/>
      <c r="F114" s="13"/>
      <c r="G114" s="13"/>
      <c r="H114" s="46"/>
      <c r="I114" s="46"/>
      <c r="J114" s="20">
        <f t="shared" si="2"/>
        <v>0</v>
      </c>
      <c r="K114" s="32"/>
      <c r="L114" s="25" t="e">
        <f>VLOOKUP(G114,#REF!,2,0)</f>
        <v>#REF!</v>
      </c>
      <c r="M114" s="24" t="s">
        <v>16</v>
      </c>
      <c r="N114" s="24" t="s">
        <v>17</v>
      </c>
      <c r="O114" s="14"/>
      <c r="P114" s="6"/>
    </row>
    <row r="115" spans="2:16" s="16" customFormat="1" x14ac:dyDescent="0.25">
      <c r="B115" s="34"/>
      <c r="C115" s="13"/>
      <c r="D115" s="13"/>
      <c r="E115" s="13"/>
      <c r="F115" s="13"/>
      <c r="G115" s="13"/>
      <c r="H115" s="46"/>
      <c r="I115" s="46"/>
      <c r="J115" s="20">
        <f t="shared" si="2"/>
        <v>0</v>
      </c>
      <c r="K115" s="32"/>
      <c r="L115" s="25" t="e">
        <f>VLOOKUP(G115,#REF!,2,0)</f>
        <v>#REF!</v>
      </c>
      <c r="M115" s="24" t="s">
        <v>16</v>
      </c>
      <c r="N115" s="24" t="s">
        <v>17</v>
      </c>
      <c r="O115" s="14"/>
      <c r="P115" s="6"/>
    </row>
    <row r="116" spans="2:16" s="16" customFormat="1" x14ac:dyDescent="0.25">
      <c r="B116" s="34"/>
      <c r="C116" s="13"/>
      <c r="D116" s="13"/>
      <c r="E116" s="13"/>
      <c r="F116" s="13"/>
      <c r="G116" s="13"/>
      <c r="H116" s="46"/>
      <c r="I116" s="46"/>
      <c r="J116" s="20">
        <f t="shared" si="2"/>
        <v>0</v>
      </c>
      <c r="K116" s="32"/>
      <c r="L116" s="25" t="e">
        <f>VLOOKUP(G116,#REF!,2,0)</f>
        <v>#REF!</v>
      </c>
      <c r="M116" s="24" t="s">
        <v>16</v>
      </c>
      <c r="N116" s="24" t="s">
        <v>17</v>
      </c>
      <c r="O116" s="14"/>
      <c r="P116" s="6"/>
    </row>
    <row r="117" spans="2:16" s="16" customFormat="1" x14ac:dyDescent="0.25">
      <c r="B117" s="34"/>
      <c r="C117" s="13"/>
      <c r="D117" s="13"/>
      <c r="E117" s="13"/>
      <c r="F117" s="13"/>
      <c r="G117" s="13"/>
      <c r="H117" s="46"/>
      <c r="I117" s="46"/>
      <c r="J117" s="20">
        <f t="shared" si="2"/>
        <v>0</v>
      </c>
      <c r="K117" s="32"/>
      <c r="L117" s="25" t="e">
        <f>VLOOKUP(G117,#REF!,2,0)</f>
        <v>#REF!</v>
      </c>
      <c r="M117" s="24" t="s">
        <v>16</v>
      </c>
      <c r="N117" s="24" t="s">
        <v>17</v>
      </c>
      <c r="O117" s="14"/>
      <c r="P117" s="6"/>
    </row>
    <row r="118" spans="2:16" s="16" customFormat="1" x14ac:dyDescent="0.25">
      <c r="B118" s="34"/>
      <c r="C118" s="13"/>
      <c r="D118" s="13"/>
      <c r="E118" s="13"/>
      <c r="F118" s="13"/>
      <c r="G118" s="13"/>
      <c r="H118" s="46"/>
      <c r="I118" s="46"/>
      <c r="J118" s="20">
        <f t="shared" si="2"/>
        <v>0</v>
      </c>
      <c r="K118" s="32"/>
      <c r="L118" s="25" t="e">
        <f>VLOOKUP(G118,#REF!,2,0)</f>
        <v>#REF!</v>
      </c>
      <c r="M118" s="24" t="s">
        <v>16</v>
      </c>
      <c r="N118" s="24" t="s">
        <v>17</v>
      </c>
      <c r="O118" s="14"/>
      <c r="P118" s="6"/>
    </row>
    <row r="119" spans="2:16" s="16" customFormat="1" x14ac:dyDescent="0.25">
      <c r="B119" s="34"/>
      <c r="C119" s="13"/>
      <c r="D119" s="13"/>
      <c r="E119" s="13"/>
      <c r="F119" s="13"/>
      <c r="G119" s="13"/>
      <c r="H119" s="46"/>
      <c r="I119" s="46"/>
      <c r="J119" s="20">
        <f t="shared" si="2"/>
        <v>0</v>
      </c>
      <c r="K119" s="32"/>
      <c r="L119" s="25" t="e">
        <f>VLOOKUP(G119,#REF!,2,0)</f>
        <v>#REF!</v>
      </c>
      <c r="M119" s="24" t="s">
        <v>16</v>
      </c>
      <c r="N119" s="24" t="s">
        <v>17</v>
      </c>
      <c r="O119" s="14"/>
      <c r="P119" s="6"/>
    </row>
    <row r="120" spans="2:16" s="16" customFormat="1" x14ac:dyDescent="0.25">
      <c r="B120" s="34"/>
      <c r="C120" s="13"/>
      <c r="D120" s="13"/>
      <c r="E120" s="13"/>
      <c r="F120" s="13"/>
      <c r="G120" s="13"/>
      <c r="H120" s="46"/>
      <c r="I120" s="46"/>
      <c r="J120" s="20">
        <f t="shared" si="2"/>
        <v>0</v>
      </c>
      <c r="K120" s="32"/>
      <c r="L120" s="25" t="e">
        <f>VLOOKUP(G120,#REF!,2,0)</f>
        <v>#REF!</v>
      </c>
      <c r="M120" s="24" t="s">
        <v>16</v>
      </c>
      <c r="N120" s="24" t="s">
        <v>17</v>
      </c>
      <c r="O120" s="14"/>
      <c r="P120" s="6"/>
    </row>
    <row r="121" spans="2:16" s="16" customFormat="1" x14ac:dyDescent="0.25">
      <c r="B121" s="34"/>
      <c r="C121" s="13"/>
      <c r="D121" s="13"/>
      <c r="E121" s="13"/>
      <c r="F121" s="13"/>
      <c r="G121" s="13"/>
      <c r="H121" s="46"/>
      <c r="I121" s="46"/>
      <c r="J121" s="20">
        <f t="shared" si="2"/>
        <v>0</v>
      </c>
      <c r="K121" s="32"/>
      <c r="L121" s="25" t="e">
        <f>VLOOKUP(G121,#REF!,2,0)</f>
        <v>#REF!</v>
      </c>
      <c r="M121" s="24" t="s">
        <v>16</v>
      </c>
      <c r="N121" s="24" t="s">
        <v>17</v>
      </c>
      <c r="O121" s="14"/>
      <c r="P121" s="6"/>
    </row>
    <row r="122" spans="2:16" s="16" customFormat="1" x14ac:dyDescent="0.25">
      <c r="B122" s="34"/>
      <c r="C122" s="13"/>
      <c r="D122" s="13"/>
      <c r="E122" s="13"/>
      <c r="F122" s="13"/>
      <c r="G122" s="13"/>
      <c r="H122" s="46"/>
      <c r="I122" s="46"/>
      <c r="J122" s="20">
        <f t="shared" si="2"/>
        <v>0</v>
      </c>
      <c r="K122" s="32"/>
      <c r="L122" s="25" t="e">
        <f>VLOOKUP(G122,#REF!,2,0)</f>
        <v>#REF!</v>
      </c>
      <c r="M122" s="24" t="s">
        <v>16</v>
      </c>
      <c r="N122" s="24" t="s">
        <v>17</v>
      </c>
      <c r="O122" s="14"/>
      <c r="P122" s="6"/>
    </row>
    <row r="123" spans="2:16" s="16" customFormat="1" x14ac:dyDescent="0.25">
      <c r="B123" s="34"/>
      <c r="C123" s="13"/>
      <c r="D123" s="13"/>
      <c r="E123" s="13"/>
      <c r="F123" s="13"/>
      <c r="G123" s="13"/>
      <c r="H123" s="46"/>
      <c r="I123" s="46"/>
      <c r="J123" s="20">
        <f t="shared" si="2"/>
        <v>0</v>
      </c>
      <c r="K123" s="32"/>
      <c r="L123" s="25" t="e">
        <f>VLOOKUP(G123,#REF!,2,0)</f>
        <v>#REF!</v>
      </c>
      <c r="M123" s="24" t="s">
        <v>16</v>
      </c>
      <c r="N123" s="24" t="s">
        <v>17</v>
      </c>
      <c r="O123" s="14"/>
      <c r="P123" s="6"/>
    </row>
    <row r="124" spans="2:16" s="16" customFormat="1" x14ac:dyDescent="0.25">
      <c r="B124" s="34"/>
      <c r="C124" s="13"/>
      <c r="D124" s="13"/>
      <c r="E124" s="13"/>
      <c r="F124" s="13"/>
      <c r="G124" s="13"/>
      <c r="H124" s="46"/>
      <c r="I124" s="46"/>
      <c r="J124" s="20">
        <f t="shared" si="2"/>
        <v>0</v>
      </c>
      <c r="K124" s="32"/>
      <c r="L124" s="25" t="e">
        <f>VLOOKUP(G124,#REF!,2,0)</f>
        <v>#REF!</v>
      </c>
      <c r="M124" s="24" t="s">
        <v>16</v>
      </c>
      <c r="N124" s="24" t="s">
        <v>17</v>
      </c>
      <c r="O124" s="14"/>
      <c r="P124" s="6"/>
    </row>
    <row r="125" spans="2:16" s="16" customFormat="1" x14ac:dyDescent="0.25">
      <c r="B125" s="34"/>
      <c r="C125" s="13"/>
      <c r="D125" s="13"/>
      <c r="E125" s="13"/>
      <c r="F125" s="13"/>
      <c r="G125" s="13"/>
      <c r="H125" s="46"/>
      <c r="I125" s="46"/>
      <c r="J125" s="20">
        <f t="shared" si="2"/>
        <v>0</v>
      </c>
      <c r="K125" s="32"/>
      <c r="L125" s="25" t="e">
        <f>VLOOKUP(G125,#REF!,2,0)</f>
        <v>#REF!</v>
      </c>
      <c r="M125" s="24" t="s">
        <v>16</v>
      </c>
      <c r="N125" s="24" t="s">
        <v>17</v>
      </c>
      <c r="O125" s="14"/>
      <c r="P125" s="6"/>
    </row>
    <row r="126" spans="2:16" s="16" customFormat="1" x14ac:dyDescent="0.25">
      <c r="B126" s="34"/>
      <c r="C126" s="13"/>
      <c r="D126" s="13"/>
      <c r="E126" s="13"/>
      <c r="F126" s="13"/>
      <c r="G126" s="13"/>
      <c r="H126" s="46"/>
      <c r="I126" s="46"/>
      <c r="J126" s="20">
        <f t="shared" si="2"/>
        <v>0</v>
      </c>
      <c r="K126" s="32"/>
      <c r="L126" s="25" t="e">
        <f>VLOOKUP(G126,#REF!,2,0)</f>
        <v>#REF!</v>
      </c>
      <c r="M126" s="24" t="s">
        <v>16</v>
      </c>
      <c r="N126" s="24" t="s">
        <v>17</v>
      </c>
      <c r="O126" s="14"/>
      <c r="P126" s="6"/>
    </row>
    <row r="127" spans="2:16" s="16" customFormat="1" x14ac:dyDescent="0.25">
      <c r="B127" s="34"/>
      <c r="C127" s="13"/>
      <c r="D127" s="13"/>
      <c r="E127" s="13"/>
      <c r="F127" s="13"/>
      <c r="G127" s="13"/>
      <c r="H127" s="46"/>
      <c r="I127" s="46"/>
      <c r="J127" s="20">
        <f t="shared" si="2"/>
        <v>0</v>
      </c>
      <c r="K127" s="32"/>
      <c r="L127" s="25" t="e">
        <f>VLOOKUP(G127,#REF!,2,0)</f>
        <v>#REF!</v>
      </c>
      <c r="M127" s="24" t="s">
        <v>16</v>
      </c>
      <c r="N127" s="24" t="s">
        <v>17</v>
      </c>
      <c r="O127" s="14"/>
      <c r="P127" s="6"/>
    </row>
    <row r="128" spans="2:16" s="16" customFormat="1" x14ac:dyDescent="0.25">
      <c r="B128" s="34"/>
      <c r="C128" s="13"/>
      <c r="D128" s="13"/>
      <c r="E128" s="13"/>
      <c r="F128" s="13"/>
      <c r="G128" s="13"/>
      <c r="H128" s="46"/>
      <c r="I128" s="46"/>
      <c r="J128" s="20">
        <f t="shared" si="2"/>
        <v>0</v>
      </c>
      <c r="K128" s="32"/>
      <c r="L128" s="25" t="e">
        <f>VLOOKUP(G128,#REF!,2,0)</f>
        <v>#REF!</v>
      </c>
      <c r="M128" s="24" t="s">
        <v>16</v>
      </c>
      <c r="N128" s="24" t="s">
        <v>17</v>
      </c>
      <c r="O128" s="14"/>
      <c r="P128" s="6"/>
    </row>
    <row r="129" spans="2:16" s="16" customFormat="1" x14ac:dyDescent="0.25">
      <c r="B129" s="34"/>
      <c r="C129" s="13"/>
      <c r="D129" s="13"/>
      <c r="E129" s="13"/>
      <c r="F129" s="13"/>
      <c r="G129" s="13"/>
      <c r="H129" s="46"/>
      <c r="I129" s="46"/>
      <c r="J129" s="20">
        <f t="shared" si="2"/>
        <v>0</v>
      </c>
      <c r="K129" s="32"/>
      <c r="L129" s="25" t="e">
        <f>VLOOKUP(G129,#REF!,2,0)</f>
        <v>#REF!</v>
      </c>
      <c r="M129" s="24" t="s">
        <v>16</v>
      </c>
      <c r="N129" s="24" t="s">
        <v>17</v>
      </c>
      <c r="O129" s="14"/>
      <c r="P129" s="6"/>
    </row>
    <row r="130" spans="2:16" s="16" customFormat="1" x14ac:dyDescent="0.25">
      <c r="B130" s="34"/>
      <c r="C130" s="13"/>
      <c r="D130" s="13"/>
      <c r="E130" s="13"/>
      <c r="F130" s="13"/>
      <c r="G130" s="13"/>
      <c r="H130" s="46"/>
      <c r="I130" s="46"/>
      <c r="J130" s="20">
        <f t="shared" si="2"/>
        <v>0</v>
      </c>
      <c r="K130" s="32"/>
      <c r="L130" s="25" t="e">
        <f>VLOOKUP(G130,#REF!,2,0)</f>
        <v>#REF!</v>
      </c>
      <c r="M130" s="24" t="s">
        <v>16</v>
      </c>
      <c r="N130" s="24" t="s">
        <v>17</v>
      </c>
      <c r="O130" s="14"/>
      <c r="P130" s="6"/>
    </row>
    <row r="131" spans="2:16" s="16" customFormat="1" x14ac:dyDescent="0.25">
      <c r="B131" s="34"/>
      <c r="C131" s="13"/>
      <c r="D131" s="13"/>
      <c r="E131" s="13"/>
      <c r="F131" s="13"/>
      <c r="G131" s="13"/>
      <c r="H131" s="46"/>
      <c r="I131" s="46"/>
      <c r="J131" s="20">
        <f t="shared" si="2"/>
        <v>0</v>
      </c>
      <c r="K131" s="32"/>
      <c r="L131" s="25" t="e">
        <f>VLOOKUP(G131,#REF!,2,0)</f>
        <v>#REF!</v>
      </c>
      <c r="M131" s="24" t="s">
        <v>16</v>
      </c>
      <c r="N131" s="24" t="s">
        <v>17</v>
      </c>
      <c r="O131" s="14"/>
      <c r="P131" s="6"/>
    </row>
    <row r="132" spans="2:16" s="16" customFormat="1" x14ac:dyDescent="0.25">
      <c r="B132" s="34"/>
      <c r="C132" s="13"/>
      <c r="D132" s="13"/>
      <c r="E132" s="13"/>
      <c r="F132" s="13"/>
      <c r="G132" s="13"/>
      <c r="H132" s="46"/>
      <c r="I132" s="46"/>
      <c r="J132" s="20">
        <f t="shared" si="2"/>
        <v>0</v>
      </c>
      <c r="K132" s="32"/>
      <c r="L132" s="25" t="e">
        <f>VLOOKUP(G132,#REF!,2,0)</f>
        <v>#REF!</v>
      </c>
      <c r="M132" s="24" t="s">
        <v>16</v>
      </c>
      <c r="N132" s="24" t="s">
        <v>17</v>
      </c>
      <c r="O132" s="14"/>
      <c r="P132" s="6"/>
    </row>
    <row r="133" spans="2:16" s="16" customFormat="1" x14ac:dyDescent="0.25">
      <c r="B133" s="34"/>
      <c r="C133" s="13"/>
      <c r="D133" s="13"/>
      <c r="E133" s="13"/>
      <c r="F133" s="13"/>
      <c r="G133" s="13"/>
      <c r="H133" s="46"/>
      <c r="I133" s="46"/>
      <c r="J133" s="20">
        <f t="shared" si="2"/>
        <v>0</v>
      </c>
      <c r="K133" s="32"/>
      <c r="L133" s="25" t="e">
        <f>VLOOKUP(G133,#REF!,2,0)</f>
        <v>#REF!</v>
      </c>
      <c r="M133" s="24" t="s">
        <v>16</v>
      </c>
      <c r="N133" s="24" t="s">
        <v>17</v>
      </c>
      <c r="O133" s="14"/>
      <c r="P133" s="6"/>
    </row>
    <row r="134" spans="2:16" s="16" customFormat="1" x14ac:dyDescent="0.25">
      <c r="B134" s="34"/>
      <c r="C134" s="13"/>
      <c r="D134" s="13"/>
      <c r="E134" s="13"/>
      <c r="F134" s="13"/>
      <c r="G134" s="13"/>
      <c r="H134" s="46"/>
      <c r="I134" s="46"/>
      <c r="J134" s="20">
        <f t="shared" ref="J134:J154" si="3">I134-H134</f>
        <v>0</v>
      </c>
      <c r="K134" s="32"/>
      <c r="L134" s="25" t="e">
        <f>VLOOKUP(G134,#REF!,2,0)</f>
        <v>#REF!</v>
      </c>
      <c r="M134" s="24" t="s">
        <v>16</v>
      </c>
      <c r="N134" s="24" t="s">
        <v>17</v>
      </c>
      <c r="O134" s="14"/>
      <c r="P134" s="6"/>
    </row>
    <row r="135" spans="2:16" s="16" customFormat="1" x14ac:dyDescent="0.25">
      <c r="B135" s="34"/>
      <c r="C135" s="13"/>
      <c r="D135" s="13"/>
      <c r="E135" s="13"/>
      <c r="F135" s="13"/>
      <c r="G135" s="13"/>
      <c r="H135" s="46"/>
      <c r="I135" s="46"/>
      <c r="J135" s="20">
        <f t="shared" si="3"/>
        <v>0</v>
      </c>
      <c r="K135" s="32"/>
      <c r="L135" s="25" t="e">
        <f>VLOOKUP(G135,#REF!,2,0)</f>
        <v>#REF!</v>
      </c>
      <c r="M135" s="24" t="s">
        <v>16</v>
      </c>
      <c r="N135" s="24" t="s">
        <v>17</v>
      </c>
      <c r="O135" s="14"/>
      <c r="P135" s="6"/>
    </row>
    <row r="136" spans="2:16" s="16" customFormat="1" x14ac:dyDescent="0.25">
      <c r="B136" s="34"/>
      <c r="C136" s="13"/>
      <c r="D136" s="13"/>
      <c r="E136" s="13"/>
      <c r="F136" s="13"/>
      <c r="G136" s="13"/>
      <c r="H136" s="46"/>
      <c r="I136" s="46"/>
      <c r="J136" s="20">
        <f t="shared" si="3"/>
        <v>0</v>
      </c>
      <c r="K136" s="32"/>
      <c r="L136" s="25" t="e">
        <f>VLOOKUP(G136,#REF!,2,0)</f>
        <v>#REF!</v>
      </c>
      <c r="M136" s="24" t="s">
        <v>16</v>
      </c>
      <c r="N136" s="24" t="s">
        <v>17</v>
      </c>
      <c r="O136" s="14"/>
      <c r="P136" s="6"/>
    </row>
    <row r="137" spans="2:16" s="16" customFormat="1" x14ac:dyDescent="0.25">
      <c r="B137" s="34"/>
      <c r="C137" s="13"/>
      <c r="D137" s="13"/>
      <c r="E137" s="13"/>
      <c r="F137" s="13"/>
      <c r="G137" s="13"/>
      <c r="H137" s="46"/>
      <c r="I137" s="46"/>
      <c r="J137" s="20">
        <f t="shared" si="3"/>
        <v>0</v>
      </c>
      <c r="K137" s="32"/>
      <c r="L137" s="25" t="e">
        <f>VLOOKUP(G137,#REF!,2,0)</f>
        <v>#REF!</v>
      </c>
      <c r="M137" s="24" t="s">
        <v>16</v>
      </c>
      <c r="N137" s="24" t="s">
        <v>17</v>
      </c>
      <c r="O137" s="14"/>
      <c r="P137" s="6"/>
    </row>
    <row r="138" spans="2:16" s="16" customFormat="1" x14ac:dyDescent="0.25">
      <c r="B138" s="34"/>
      <c r="C138" s="13"/>
      <c r="D138" s="13"/>
      <c r="E138" s="13"/>
      <c r="F138" s="13"/>
      <c r="G138" s="13"/>
      <c r="H138" s="46"/>
      <c r="I138" s="46"/>
      <c r="J138" s="20">
        <f t="shared" si="3"/>
        <v>0</v>
      </c>
      <c r="K138" s="32"/>
      <c r="L138" s="25" t="e">
        <f>VLOOKUP(G138,#REF!,2,0)</f>
        <v>#REF!</v>
      </c>
      <c r="M138" s="24" t="s">
        <v>16</v>
      </c>
      <c r="N138" s="24" t="s">
        <v>17</v>
      </c>
      <c r="O138" s="14"/>
      <c r="P138" s="6"/>
    </row>
    <row r="139" spans="2:16" s="16" customFormat="1" x14ac:dyDescent="0.25">
      <c r="B139" s="34"/>
      <c r="C139" s="13"/>
      <c r="D139" s="13"/>
      <c r="E139" s="13"/>
      <c r="F139" s="13"/>
      <c r="G139" s="13"/>
      <c r="H139" s="46"/>
      <c r="I139" s="46"/>
      <c r="J139" s="20">
        <f t="shared" si="3"/>
        <v>0</v>
      </c>
      <c r="K139" s="32"/>
      <c r="L139" s="25" t="e">
        <f>VLOOKUP(G139,#REF!,2,0)</f>
        <v>#REF!</v>
      </c>
      <c r="M139" s="24" t="s">
        <v>16</v>
      </c>
      <c r="N139" s="24" t="s">
        <v>17</v>
      </c>
      <c r="O139" s="14"/>
      <c r="P139" s="6"/>
    </row>
    <row r="140" spans="2:16" s="16" customFormat="1" x14ac:dyDescent="0.25">
      <c r="B140" s="34"/>
      <c r="C140" s="13"/>
      <c r="D140" s="13"/>
      <c r="E140" s="13"/>
      <c r="F140" s="13"/>
      <c r="G140" s="13"/>
      <c r="H140" s="46"/>
      <c r="I140" s="46"/>
      <c r="J140" s="20">
        <f t="shared" si="3"/>
        <v>0</v>
      </c>
      <c r="K140" s="32"/>
      <c r="L140" s="25" t="e">
        <f>VLOOKUP(G140,#REF!,2,0)</f>
        <v>#REF!</v>
      </c>
      <c r="M140" s="24" t="s">
        <v>16</v>
      </c>
      <c r="N140" s="24" t="s">
        <v>17</v>
      </c>
      <c r="O140" s="14"/>
      <c r="P140" s="6"/>
    </row>
    <row r="141" spans="2:16" s="16" customFormat="1" x14ac:dyDescent="0.25">
      <c r="B141" s="34"/>
      <c r="C141" s="13"/>
      <c r="D141" s="13"/>
      <c r="E141" s="13"/>
      <c r="F141" s="13"/>
      <c r="G141" s="13"/>
      <c r="H141" s="46"/>
      <c r="I141" s="46"/>
      <c r="J141" s="20">
        <f t="shared" si="3"/>
        <v>0</v>
      </c>
      <c r="K141" s="32"/>
      <c r="L141" s="25" t="e">
        <f>VLOOKUP(G141,#REF!,2,0)</f>
        <v>#REF!</v>
      </c>
      <c r="M141" s="24" t="s">
        <v>16</v>
      </c>
      <c r="N141" s="24" t="s">
        <v>17</v>
      </c>
      <c r="O141" s="14"/>
      <c r="P141" s="6"/>
    </row>
    <row r="142" spans="2:16" s="16" customFormat="1" x14ac:dyDescent="0.25">
      <c r="B142" s="34"/>
      <c r="C142" s="13"/>
      <c r="D142" s="13"/>
      <c r="E142" s="13"/>
      <c r="F142" s="13"/>
      <c r="G142" s="13"/>
      <c r="H142" s="46"/>
      <c r="I142" s="46"/>
      <c r="J142" s="20">
        <f t="shared" si="3"/>
        <v>0</v>
      </c>
      <c r="K142" s="32"/>
      <c r="L142" s="25" t="e">
        <f>VLOOKUP(G142,#REF!,2,0)</f>
        <v>#REF!</v>
      </c>
      <c r="M142" s="24" t="s">
        <v>16</v>
      </c>
      <c r="N142" s="24" t="s">
        <v>17</v>
      </c>
      <c r="O142" s="14"/>
      <c r="P142" s="6"/>
    </row>
    <row r="143" spans="2:16" s="16" customFormat="1" x14ac:dyDescent="0.25">
      <c r="B143" s="34"/>
      <c r="C143" s="13"/>
      <c r="D143" s="13"/>
      <c r="E143" s="13"/>
      <c r="F143" s="13"/>
      <c r="G143" s="13"/>
      <c r="H143" s="46"/>
      <c r="I143" s="46"/>
      <c r="J143" s="20">
        <f t="shared" si="3"/>
        <v>0</v>
      </c>
      <c r="K143" s="32"/>
      <c r="L143" s="25" t="e">
        <f>VLOOKUP(G143,#REF!,2,0)</f>
        <v>#REF!</v>
      </c>
      <c r="M143" s="24" t="s">
        <v>16</v>
      </c>
      <c r="N143" s="24" t="s">
        <v>17</v>
      </c>
      <c r="O143" s="14"/>
      <c r="P143" s="6"/>
    </row>
    <row r="144" spans="2:16" s="16" customFormat="1" x14ac:dyDescent="0.25">
      <c r="B144" s="34"/>
      <c r="C144" s="13"/>
      <c r="D144" s="13"/>
      <c r="E144" s="13"/>
      <c r="F144" s="13"/>
      <c r="G144" s="13"/>
      <c r="H144" s="46"/>
      <c r="I144" s="46"/>
      <c r="J144" s="20">
        <f t="shared" si="3"/>
        <v>0</v>
      </c>
      <c r="K144" s="32"/>
      <c r="L144" s="25" t="e">
        <f>VLOOKUP(G144,#REF!,2,0)</f>
        <v>#REF!</v>
      </c>
      <c r="M144" s="24" t="s">
        <v>16</v>
      </c>
      <c r="N144" s="24" t="s">
        <v>17</v>
      </c>
      <c r="O144" s="47"/>
      <c r="P144" s="6"/>
    </row>
    <row r="145" spans="1:16" s="16" customFormat="1" x14ac:dyDescent="0.25">
      <c r="B145" s="34"/>
      <c r="C145" s="13"/>
      <c r="D145" s="13"/>
      <c r="E145" s="13"/>
      <c r="F145" s="13"/>
      <c r="G145" s="13"/>
      <c r="H145" s="46"/>
      <c r="I145" s="46"/>
      <c r="J145" s="20">
        <f t="shared" si="3"/>
        <v>0</v>
      </c>
      <c r="K145" s="32"/>
      <c r="L145" s="25" t="e">
        <f>VLOOKUP(G145,#REF!,2,0)</f>
        <v>#REF!</v>
      </c>
      <c r="M145" s="24" t="s">
        <v>16</v>
      </c>
      <c r="N145" s="24" t="s">
        <v>17</v>
      </c>
      <c r="O145" s="14"/>
      <c r="P145" s="6"/>
    </row>
    <row r="146" spans="1:16" s="16" customFormat="1" x14ac:dyDescent="0.25">
      <c r="B146" s="34"/>
      <c r="C146" s="13"/>
      <c r="D146" s="13"/>
      <c r="E146" s="13"/>
      <c r="F146" s="13"/>
      <c r="G146" s="13"/>
      <c r="H146" s="46"/>
      <c r="I146" s="46"/>
      <c r="J146" s="20">
        <f t="shared" si="3"/>
        <v>0</v>
      </c>
      <c r="K146" s="32"/>
      <c r="L146" s="25" t="e">
        <f>VLOOKUP(G146,#REF!,2,0)</f>
        <v>#REF!</v>
      </c>
      <c r="M146" s="24" t="s">
        <v>16</v>
      </c>
      <c r="N146" s="24" t="s">
        <v>17</v>
      </c>
      <c r="O146" s="14"/>
      <c r="P146" s="6"/>
    </row>
    <row r="147" spans="1:16" s="16" customFormat="1" x14ac:dyDescent="0.25">
      <c r="B147" s="34"/>
      <c r="C147" s="13"/>
      <c r="D147" s="13"/>
      <c r="E147" s="13"/>
      <c r="F147" s="48"/>
      <c r="G147" s="13"/>
      <c r="H147" s="46"/>
      <c r="I147" s="46"/>
      <c r="J147" s="20">
        <f t="shared" si="3"/>
        <v>0</v>
      </c>
      <c r="K147" s="32"/>
      <c r="L147" s="25" t="e">
        <f>VLOOKUP(G147,#REF!,2,0)</f>
        <v>#REF!</v>
      </c>
      <c r="M147" s="24" t="s">
        <v>16</v>
      </c>
      <c r="N147" s="24" t="s">
        <v>17</v>
      </c>
      <c r="O147" s="14"/>
      <c r="P147" s="6"/>
    </row>
    <row r="148" spans="1:16" s="16" customFormat="1" x14ac:dyDescent="0.25">
      <c r="B148" s="34"/>
      <c r="C148" s="13"/>
      <c r="D148" s="13"/>
      <c r="E148" s="13"/>
      <c r="F148" s="48"/>
      <c r="G148" s="13"/>
      <c r="H148" s="46"/>
      <c r="I148" s="46"/>
      <c r="J148" s="20">
        <f t="shared" si="3"/>
        <v>0</v>
      </c>
      <c r="K148" s="32"/>
      <c r="L148" s="25" t="e">
        <f>VLOOKUP(G148,#REF!,2,0)</f>
        <v>#REF!</v>
      </c>
      <c r="M148" s="24" t="s">
        <v>16</v>
      </c>
      <c r="N148" s="24" t="s">
        <v>17</v>
      </c>
      <c r="O148" s="14"/>
      <c r="P148" s="6"/>
    </row>
    <row r="149" spans="1:16" s="16" customFormat="1" x14ac:dyDescent="0.25">
      <c r="B149" s="34"/>
      <c r="C149" s="13"/>
      <c r="D149" s="13"/>
      <c r="E149" s="13"/>
      <c r="F149" s="48"/>
      <c r="G149" s="13"/>
      <c r="H149" s="46"/>
      <c r="I149" s="46"/>
      <c r="J149" s="20">
        <f t="shared" si="3"/>
        <v>0</v>
      </c>
      <c r="K149" s="32"/>
      <c r="L149" s="25" t="e">
        <f>VLOOKUP(G149,#REF!,2,0)</f>
        <v>#REF!</v>
      </c>
      <c r="M149" s="24" t="s">
        <v>16</v>
      </c>
      <c r="N149" s="24" t="s">
        <v>17</v>
      </c>
      <c r="O149" s="14"/>
      <c r="P149" s="6"/>
    </row>
    <row r="150" spans="1:16" s="16" customFormat="1" x14ac:dyDescent="0.25">
      <c r="B150" s="34"/>
      <c r="C150" s="13"/>
      <c r="D150" s="13"/>
      <c r="E150" s="13"/>
      <c r="F150" s="48"/>
      <c r="G150" s="13"/>
      <c r="H150" s="46"/>
      <c r="I150" s="46"/>
      <c r="J150" s="20">
        <f t="shared" si="3"/>
        <v>0</v>
      </c>
      <c r="K150" s="32"/>
      <c r="L150" s="25" t="e">
        <f>VLOOKUP(G150,#REF!,2,0)</f>
        <v>#REF!</v>
      </c>
      <c r="M150" s="24" t="s">
        <v>16</v>
      </c>
      <c r="N150" s="24" t="s">
        <v>17</v>
      </c>
      <c r="O150" s="14"/>
      <c r="P150" s="6"/>
    </row>
    <row r="151" spans="1:16" s="16" customFormat="1" x14ac:dyDescent="0.25">
      <c r="B151" s="34"/>
      <c r="C151" s="13"/>
      <c r="D151" s="13"/>
      <c r="E151" s="13"/>
      <c r="F151" s="13"/>
      <c r="G151" s="13"/>
      <c r="H151" s="46"/>
      <c r="I151" s="46"/>
      <c r="J151" s="20">
        <f t="shared" si="3"/>
        <v>0</v>
      </c>
      <c r="K151" s="32"/>
      <c r="L151" s="25" t="e">
        <f>VLOOKUP(G151,#REF!,2,0)</f>
        <v>#REF!</v>
      </c>
      <c r="M151" s="24" t="s">
        <v>16</v>
      </c>
      <c r="N151" s="24" t="s">
        <v>17</v>
      </c>
      <c r="O151" s="14"/>
      <c r="P151" s="6"/>
    </row>
    <row r="152" spans="1:16" s="16" customFormat="1" x14ac:dyDescent="0.25">
      <c r="B152" s="34"/>
      <c r="C152" s="13"/>
      <c r="D152" s="13"/>
      <c r="E152" s="13"/>
      <c r="F152" s="13"/>
      <c r="G152" s="13"/>
      <c r="H152" s="46"/>
      <c r="I152" s="46"/>
      <c r="J152" s="20">
        <f t="shared" si="3"/>
        <v>0</v>
      </c>
      <c r="K152" s="32"/>
      <c r="L152" s="25" t="e">
        <f>VLOOKUP(G152,#REF!,2,0)</f>
        <v>#REF!</v>
      </c>
      <c r="M152" s="24" t="s">
        <v>16</v>
      </c>
      <c r="N152" s="24" t="s">
        <v>17</v>
      </c>
      <c r="O152" s="14"/>
      <c r="P152" s="6"/>
    </row>
    <row r="153" spans="1:16" s="16" customFormat="1" x14ac:dyDescent="0.25">
      <c r="B153" s="34"/>
      <c r="C153" s="13"/>
      <c r="D153" s="13"/>
      <c r="E153" s="13"/>
      <c r="F153" s="13"/>
      <c r="G153" s="13"/>
      <c r="H153" s="46"/>
      <c r="I153" s="46"/>
      <c r="J153" s="20">
        <f t="shared" si="3"/>
        <v>0</v>
      </c>
      <c r="K153" s="32"/>
      <c r="L153" s="25" t="e">
        <f>VLOOKUP(G153,#REF!,2,0)</f>
        <v>#REF!</v>
      </c>
      <c r="M153" s="24" t="s">
        <v>16</v>
      </c>
      <c r="N153" s="24" t="s">
        <v>17</v>
      </c>
      <c r="O153" s="14"/>
      <c r="P153" s="6"/>
    </row>
    <row r="154" spans="1:16" s="16" customFormat="1" x14ac:dyDescent="0.25">
      <c r="B154" s="34"/>
      <c r="C154" s="13"/>
      <c r="D154" s="13"/>
      <c r="E154" s="13"/>
      <c r="F154" s="13"/>
      <c r="G154" s="13"/>
      <c r="H154" s="46"/>
      <c r="I154" s="46"/>
      <c r="J154" s="20">
        <f t="shared" si="3"/>
        <v>0</v>
      </c>
      <c r="K154" s="32"/>
      <c r="L154" s="25" t="e">
        <f>VLOOKUP(G154,#REF!,2,0)</f>
        <v>#REF!</v>
      </c>
      <c r="M154" s="24" t="s">
        <v>16</v>
      </c>
      <c r="N154" s="24" t="s">
        <v>17</v>
      </c>
      <c r="O154" s="14"/>
      <c r="P154" s="6"/>
    </row>
    <row r="155" spans="1:16" x14ac:dyDescent="0.25">
      <c r="A155" s="16"/>
      <c r="B155" s="34"/>
      <c r="C155" s="13"/>
      <c r="D155" s="13"/>
      <c r="E155" s="13"/>
      <c r="F155" s="13"/>
      <c r="G155" s="13"/>
      <c r="H155" s="46"/>
      <c r="I155" s="46"/>
      <c r="J155" s="20">
        <f t="shared" ref="J155:J197" si="4">I155-H155</f>
        <v>0</v>
      </c>
      <c r="K155" s="32"/>
      <c r="L155" s="25" t="e">
        <f>VLOOKUP(G155,#REF!,2,0)</f>
        <v>#REF!</v>
      </c>
      <c r="M155" s="24" t="s">
        <v>16</v>
      </c>
      <c r="N155" s="24" t="s">
        <v>17</v>
      </c>
      <c r="O155" s="35"/>
    </row>
    <row r="156" spans="1:16" x14ac:dyDescent="0.25">
      <c r="A156" s="16"/>
      <c r="B156" s="34"/>
      <c r="C156" s="13"/>
      <c r="D156" s="13"/>
      <c r="E156" s="13"/>
      <c r="F156" s="13"/>
      <c r="G156" s="13"/>
      <c r="H156" s="46"/>
      <c r="I156" s="46"/>
      <c r="J156" s="20">
        <f t="shared" si="4"/>
        <v>0</v>
      </c>
      <c r="K156" s="32"/>
      <c r="L156" s="25" t="e">
        <f>VLOOKUP(G156,#REF!,2,0)</f>
        <v>#REF!</v>
      </c>
      <c r="M156" s="24" t="s">
        <v>16</v>
      </c>
      <c r="N156" s="24" t="s">
        <v>17</v>
      </c>
      <c r="O156" s="35"/>
    </row>
    <row r="157" spans="1:16" x14ac:dyDescent="0.25">
      <c r="A157" s="16"/>
      <c r="B157" s="34"/>
      <c r="C157" s="13"/>
      <c r="D157" s="13"/>
      <c r="E157" s="13"/>
      <c r="F157" s="13"/>
      <c r="G157" s="13"/>
      <c r="H157" s="46"/>
      <c r="I157" s="46"/>
      <c r="J157" s="20">
        <f t="shared" si="4"/>
        <v>0</v>
      </c>
      <c r="K157" s="32"/>
      <c r="L157" s="25" t="e">
        <f>VLOOKUP(G157,#REF!,2,0)</f>
        <v>#REF!</v>
      </c>
      <c r="M157" s="24" t="s">
        <v>16</v>
      </c>
      <c r="N157" s="24" t="s">
        <v>17</v>
      </c>
      <c r="O157" s="35"/>
    </row>
    <row r="158" spans="1:16" x14ac:dyDescent="0.25">
      <c r="A158" s="16"/>
      <c r="B158" s="34"/>
      <c r="C158" s="13"/>
      <c r="D158" s="13"/>
      <c r="E158" s="13"/>
      <c r="F158" s="13"/>
      <c r="G158" s="13"/>
      <c r="H158" s="46"/>
      <c r="I158" s="46"/>
      <c r="J158" s="20">
        <f t="shared" si="4"/>
        <v>0</v>
      </c>
      <c r="K158" s="32"/>
      <c r="L158" s="25" t="e">
        <f>VLOOKUP(G158,#REF!,2,0)</f>
        <v>#REF!</v>
      </c>
      <c r="M158" s="24" t="s">
        <v>16</v>
      </c>
      <c r="N158" s="24" t="s">
        <v>17</v>
      </c>
      <c r="O158" s="35"/>
    </row>
    <row r="159" spans="1:16" x14ac:dyDescent="0.25">
      <c r="A159" s="16"/>
      <c r="B159" s="34"/>
      <c r="C159" s="13"/>
      <c r="D159" s="13"/>
      <c r="E159" s="13"/>
      <c r="F159" s="13"/>
      <c r="G159" s="13"/>
      <c r="H159" s="46"/>
      <c r="I159" s="46"/>
      <c r="J159" s="20">
        <f t="shared" si="4"/>
        <v>0</v>
      </c>
      <c r="K159" s="32"/>
      <c r="L159" s="25" t="e">
        <f>VLOOKUP(G159,#REF!,2,0)</f>
        <v>#REF!</v>
      </c>
      <c r="M159" s="24" t="s">
        <v>16</v>
      </c>
      <c r="N159" s="24" t="s">
        <v>17</v>
      </c>
      <c r="O159" s="35"/>
    </row>
    <row r="160" spans="1:16" x14ac:dyDescent="0.25">
      <c r="A160" s="16"/>
      <c r="B160" s="34"/>
      <c r="C160" s="13"/>
      <c r="D160" s="13"/>
      <c r="E160" s="13"/>
      <c r="F160" s="13"/>
      <c r="G160" s="13"/>
      <c r="H160" s="46"/>
      <c r="I160" s="46"/>
      <c r="J160" s="20">
        <f t="shared" si="4"/>
        <v>0</v>
      </c>
      <c r="K160" s="32"/>
      <c r="L160" s="25" t="e">
        <f>VLOOKUP(G160,#REF!,2,0)</f>
        <v>#REF!</v>
      </c>
      <c r="M160" s="24" t="s">
        <v>16</v>
      </c>
      <c r="N160" s="24" t="s">
        <v>17</v>
      </c>
      <c r="O160" s="35"/>
    </row>
    <row r="161" spans="1:15" x14ac:dyDescent="0.25">
      <c r="A161" s="16"/>
      <c r="B161" s="34"/>
      <c r="C161" s="13"/>
      <c r="D161" s="13"/>
      <c r="E161" s="13"/>
      <c r="F161" s="13"/>
      <c r="G161" s="13"/>
      <c r="H161" s="46"/>
      <c r="I161" s="46"/>
      <c r="J161" s="20">
        <f t="shared" si="4"/>
        <v>0</v>
      </c>
      <c r="K161" s="32"/>
      <c r="L161" s="25" t="e">
        <f>VLOOKUP(G161,#REF!,2,0)</f>
        <v>#REF!</v>
      </c>
      <c r="M161" s="24" t="s">
        <v>16</v>
      </c>
      <c r="N161" s="24" t="s">
        <v>17</v>
      </c>
      <c r="O161" s="35"/>
    </row>
    <row r="162" spans="1:15" x14ac:dyDescent="0.25">
      <c r="A162" s="16"/>
      <c r="B162" s="34"/>
      <c r="C162" s="13"/>
      <c r="D162" s="13"/>
      <c r="E162" s="13"/>
      <c r="F162" s="13"/>
      <c r="G162" s="13"/>
      <c r="H162" s="46"/>
      <c r="I162" s="46"/>
      <c r="J162" s="20">
        <f t="shared" si="4"/>
        <v>0</v>
      </c>
      <c r="K162" s="32"/>
      <c r="L162" s="25" t="e">
        <f>VLOOKUP(G162,#REF!,2,0)</f>
        <v>#REF!</v>
      </c>
      <c r="M162" s="24" t="s">
        <v>16</v>
      </c>
      <c r="N162" s="24" t="s">
        <v>17</v>
      </c>
      <c r="O162" s="35"/>
    </row>
    <row r="163" spans="1:15" x14ac:dyDescent="0.25">
      <c r="A163" s="16"/>
      <c r="B163" s="34"/>
      <c r="C163" s="13"/>
      <c r="D163" s="13"/>
      <c r="E163" s="13"/>
      <c r="F163" s="13"/>
      <c r="G163" s="13"/>
      <c r="H163" s="46"/>
      <c r="I163" s="46"/>
      <c r="J163" s="20">
        <f t="shared" si="4"/>
        <v>0</v>
      </c>
      <c r="K163" s="32"/>
      <c r="L163" s="25" t="e">
        <f>VLOOKUP(G163,#REF!,2,0)</f>
        <v>#REF!</v>
      </c>
      <c r="M163" s="24" t="s">
        <v>16</v>
      </c>
      <c r="N163" s="24" t="s">
        <v>17</v>
      </c>
      <c r="O163" s="35"/>
    </row>
    <row r="164" spans="1:15" x14ac:dyDescent="0.25">
      <c r="A164" s="16"/>
      <c r="B164" s="34"/>
      <c r="C164" s="13"/>
      <c r="D164" s="13"/>
      <c r="E164" s="13"/>
      <c r="F164" s="13"/>
      <c r="G164" s="13"/>
      <c r="H164" s="46"/>
      <c r="I164" s="46"/>
      <c r="J164" s="20">
        <f t="shared" si="4"/>
        <v>0</v>
      </c>
      <c r="K164" s="32"/>
      <c r="L164" s="25" t="e">
        <f>VLOOKUP(G164,#REF!,2,0)</f>
        <v>#REF!</v>
      </c>
      <c r="M164" s="24" t="s">
        <v>16</v>
      </c>
      <c r="N164" s="24" t="s">
        <v>17</v>
      </c>
      <c r="O164" s="35"/>
    </row>
    <row r="165" spans="1:15" x14ac:dyDescent="0.25">
      <c r="A165" s="16"/>
      <c r="B165" s="34"/>
      <c r="C165" s="13"/>
      <c r="D165" s="13"/>
      <c r="E165" s="13"/>
      <c r="F165" s="13"/>
      <c r="G165" s="13"/>
      <c r="H165" s="46"/>
      <c r="I165" s="46"/>
      <c r="J165" s="20">
        <f t="shared" si="4"/>
        <v>0</v>
      </c>
      <c r="K165" s="32"/>
      <c r="L165" s="25" t="e">
        <f>VLOOKUP(G165,#REF!,2,0)</f>
        <v>#REF!</v>
      </c>
      <c r="M165" s="24" t="s">
        <v>16</v>
      </c>
      <c r="N165" s="24" t="s">
        <v>17</v>
      </c>
      <c r="O165" s="35"/>
    </row>
    <row r="166" spans="1:15" x14ac:dyDescent="0.25">
      <c r="A166" s="16"/>
      <c r="B166" s="34"/>
      <c r="C166" s="13"/>
      <c r="D166" s="13"/>
      <c r="E166" s="13"/>
      <c r="F166" s="13"/>
      <c r="G166" s="13"/>
      <c r="H166" s="46"/>
      <c r="I166" s="46"/>
      <c r="J166" s="20">
        <f t="shared" si="4"/>
        <v>0</v>
      </c>
      <c r="K166" s="32"/>
      <c r="L166" s="25" t="e">
        <f>VLOOKUP(G166,#REF!,2,0)</f>
        <v>#REF!</v>
      </c>
      <c r="M166" s="24" t="s">
        <v>16</v>
      </c>
      <c r="N166" s="24" t="s">
        <v>17</v>
      </c>
      <c r="O166" s="35"/>
    </row>
    <row r="167" spans="1:15" x14ac:dyDescent="0.25">
      <c r="A167" s="16"/>
      <c r="B167" s="34"/>
      <c r="C167" s="13"/>
      <c r="D167" s="13"/>
      <c r="E167" s="13"/>
      <c r="F167" s="13"/>
      <c r="G167" s="13"/>
      <c r="H167" s="46"/>
      <c r="I167" s="46"/>
      <c r="J167" s="20">
        <f t="shared" si="4"/>
        <v>0</v>
      </c>
      <c r="K167" s="32"/>
      <c r="L167" s="25" t="e">
        <f>VLOOKUP(G167,#REF!,2,0)</f>
        <v>#REF!</v>
      </c>
      <c r="M167" s="24" t="s">
        <v>16</v>
      </c>
      <c r="N167" s="24" t="s">
        <v>17</v>
      </c>
      <c r="O167" s="35"/>
    </row>
    <row r="168" spans="1:15" x14ac:dyDescent="0.25">
      <c r="A168" s="16"/>
      <c r="B168" s="34"/>
      <c r="C168" s="13"/>
      <c r="D168" s="13"/>
      <c r="E168" s="13"/>
      <c r="F168" s="13"/>
      <c r="G168" s="13"/>
      <c r="H168" s="46"/>
      <c r="I168" s="46"/>
      <c r="J168" s="20">
        <f t="shared" si="4"/>
        <v>0</v>
      </c>
      <c r="K168" s="32"/>
      <c r="L168" s="25" t="e">
        <f>VLOOKUP(G168,#REF!,2,0)</f>
        <v>#REF!</v>
      </c>
      <c r="M168" s="24" t="s">
        <v>16</v>
      </c>
      <c r="N168" s="24" t="s">
        <v>17</v>
      </c>
      <c r="O168" s="35"/>
    </row>
    <row r="169" spans="1:15" x14ac:dyDescent="0.25">
      <c r="A169" s="16"/>
      <c r="B169" s="34"/>
      <c r="C169" s="13"/>
      <c r="D169" s="13"/>
      <c r="E169" s="13"/>
      <c r="F169" s="13"/>
      <c r="G169" s="13"/>
      <c r="H169" s="46"/>
      <c r="I169" s="46"/>
      <c r="J169" s="20">
        <f t="shared" si="4"/>
        <v>0</v>
      </c>
      <c r="K169" s="32"/>
      <c r="L169" s="25" t="e">
        <f>VLOOKUP(G169,#REF!,2,0)</f>
        <v>#REF!</v>
      </c>
      <c r="M169" s="24" t="s">
        <v>16</v>
      </c>
      <c r="N169" s="24" t="s">
        <v>17</v>
      </c>
      <c r="O169" s="35"/>
    </row>
    <row r="170" spans="1:15" x14ac:dyDescent="0.25">
      <c r="B170" s="12"/>
      <c r="C170" s="13"/>
      <c r="D170" s="13"/>
      <c r="E170" s="13"/>
      <c r="F170" s="13"/>
      <c r="G170" s="13"/>
      <c r="H170" s="44"/>
      <c r="I170" s="44"/>
      <c r="J170" s="20">
        <f t="shared" si="4"/>
        <v>0</v>
      </c>
      <c r="K170" s="32"/>
      <c r="L170" s="25" t="e">
        <f>VLOOKUP(G170,#REF!,2,0)</f>
        <v>#REF!</v>
      </c>
      <c r="M170" s="24" t="s">
        <v>16</v>
      </c>
      <c r="N170" s="24" t="s">
        <v>17</v>
      </c>
      <c r="O170" s="35"/>
    </row>
    <row r="171" spans="1:15" x14ac:dyDescent="0.25">
      <c r="B171" s="12"/>
      <c r="C171" s="13"/>
      <c r="D171" s="13"/>
      <c r="E171" s="13"/>
      <c r="F171" s="13"/>
      <c r="G171" s="13"/>
      <c r="H171" s="44"/>
      <c r="I171" s="44"/>
      <c r="J171" s="20">
        <f t="shared" si="4"/>
        <v>0</v>
      </c>
      <c r="K171" s="32"/>
      <c r="L171" s="25" t="e">
        <f>VLOOKUP(G171,#REF!,2,0)</f>
        <v>#REF!</v>
      </c>
      <c r="M171" s="24" t="s">
        <v>16</v>
      </c>
      <c r="N171" s="24" t="s">
        <v>17</v>
      </c>
      <c r="O171" s="35"/>
    </row>
    <row r="172" spans="1:15" x14ac:dyDescent="0.25">
      <c r="B172" s="12"/>
      <c r="C172" s="13"/>
      <c r="D172" s="13"/>
      <c r="E172" s="13"/>
      <c r="F172" s="13"/>
      <c r="G172" s="13"/>
      <c r="H172" s="44"/>
      <c r="I172" s="44"/>
      <c r="J172" s="20">
        <f t="shared" si="4"/>
        <v>0</v>
      </c>
      <c r="K172" s="32"/>
      <c r="L172" s="25" t="e">
        <f>VLOOKUP(G172,#REF!,2,0)</f>
        <v>#REF!</v>
      </c>
      <c r="M172" s="24" t="s">
        <v>16</v>
      </c>
      <c r="N172" s="24" t="s">
        <v>17</v>
      </c>
      <c r="O172" s="35"/>
    </row>
    <row r="173" spans="1:15" x14ac:dyDescent="0.25">
      <c r="B173" s="12"/>
      <c r="C173" s="13"/>
      <c r="D173" s="13"/>
      <c r="E173" s="13"/>
      <c r="F173" s="13"/>
      <c r="G173" s="13"/>
      <c r="H173" s="44"/>
      <c r="I173" s="44"/>
      <c r="J173" s="20">
        <f t="shared" si="4"/>
        <v>0</v>
      </c>
      <c r="K173" s="32"/>
      <c r="L173" s="25" t="e">
        <f>VLOOKUP(G173,#REF!,2,0)</f>
        <v>#REF!</v>
      </c>
      <c r="M173" s="24" t="s">
        <v>16</v>
      </c>
      <c r="N173" s="24" t="s">
        <v>17</v>
      </c>
      <c r="O173" s="35"/>
    </row>
    <row r="174" spans="1:15" x14ac:dyDescent="0.25">
      <c r="B174" s="12"/>
      <c r="C174" s="13"/>
      <c r="D174" s="13"/>
      <c r="E174" s="13"/>
      <c r="F174" s="13"/>
      <c r="G174" s="13"/>
      <c r="H174" s="44"/>
      <c r="I174" s="44"/>
      <c r="J174" s="20">
        <f t="shared" si="4"/>
        <v>0</v>
      </c>
      <c r="K174" s="32"/>
      <c r="L174" s="25" t="e">
        <f>VLOOKUP(G174,#REF!,2,0)</f>
        <v>#REF!</v>
      </c>
      <c r="M174" s="24" t="s">
        <v>16</v>
      </c>
      <c r="N174" s="24" t="s">
        <v>17</v>
      </c>
      <c r="O174" s="35"/>
    </row>
    <row r="175" spans="1:15" x14ac:dyDescent="0.25">
      <c r="B175" s="12"/>
      <c r="C175" s="13"/>
      <c r="D175" s="13"/>
      <c r="E175" s="13"/>
      <c r="F175" s="13"/>
      <c r="G175" s="13"/>
      <c r="H175" s="44"/>
      <c r="I175" s="44"/>
      <c r="J175" s="20">
        <f t="shared" si="4"/>
        <v>0</v>
      </c>
      <c r="K175" s="32"/>
      <c r="L175" s="25" t="e">
        <f>VLOOKUP(G175,#REF!,2,0)</f>
        <v>#REF!</v>
      </c>
      <c r="M175" s="24" t="s">
        <v>16</v>
      </c>
      <c r="N175" s="24" t="s">
        <v>17</v>
      </c>
      <c r="O175" s="35"/>
    </row>
    <row r="176" spans="1:15" x14ac:dyDescent="0.25">
      <c r="B176" s="12"/>
      <c r="C176" s="13"/>
      <c r="D176" s="13"/>
      <c r="E176" s="13"/>
      <c r="F176" s="13"/>
      <c r="G176" s="13"/>
      <c r="H176" s="44"/>
      <c r="I176" s="44"/>
      <c r="J176" s="20">
        <f t="shared" si="4"/>
        <v>0</v>
      </c>
      <c r="K176" s="32"/>
      <c r="L176" s="25" t="e">
        <f>VLOOKUP(G176,#REF!,2,0)</f>
        <v>#REF!</v>
      </c>
      <c r="M176" s="24" t="s">
        <v>16</v>
      </c>
      <c r="N176" s="24" t="s">
        <v>17</v>
      </c>
      <c r="O176" s="35"/>
    </row>
    <row r="177" spans="2:15" x14ac:dyDescent="0.25">
      <c r="B177" s="12"/>
      <c r="C177" s="13"/>
      <c r="D177" s="13"/>
      <c r="E177" s="13"/>
      <c r="F177" s="13"/>
      <c r="G177" s="13"/>
      <c r="H177" s="44"/>
      <c r="I177" s="44"/>
      <c r="J177" s="20">
        <f t="shared" si="4"/>
        <v>0</v>
      </c>
      <c r="K177" s="32"/>
      <c r="L177" s="25" t="e">
        <f>VLOOKUP(G177,#REF!,2,0)</f>
        <v>#REF!</v>
      </c>
      <c r="M177" s="24" t="s">
        <v>16</v>
      </c>
      <c r="N177" s="24" t="s">
        <v>17</v>
      </c>
      <c r="O177" s="35"/>
    </row>
    <row r="178" spans="2:15" x14ac:dyDescent="0.25">
      <c r="B178" s="12"/>
      <c r="C178" s="13"/>
      <c r="D178" s="13"/>
      <c r="E178" s="13"/>
      <c r="F178" s="13"/>
      <c r="G178" s="13"/>
      <c r="H178" s="44"/>
      <c r="I178" s="44"/>
      <c r="J178" s="20">
        <f t="shared" si="4"/>
        <v>0</v>
      </c>
      <c r="K178" s="32"/>
      <c r="L178" s="25" t="e">
        <f>VLOOKUP(G178,#REF!,2,0)</f>
        <v>#REF!</v>
      </c>
      <c r="M178" s="24" t="s">
        <v>16</v>
      </c>
      <c r="N178" s="24" t="s">
        <v>17</v>
      </c>
      <c r="O178" s="35"/>
    </row>
    <row r="179" spans="2:15" x14ac:dyDescent="0.25">
      <c r="B179" s="12"/>
      <c r="C179" s="13"/>
      <c r="D179" s="13"/>
      <c r="E179" s="13"/>
      <c r="F179" s="13"/>
      <c r="G179" s="13"/>
      <c r="H179" s="44"/>
      <c r="I179" s="44"/>
      <c r="J179" s="20">
        <f t="shared" si="4"/>
        <v>0</v>
      </c>
      <c r="K179" s="32"/>
      <c r="L179" s="25" t="e">
        <f>VLOOKUP(G179,#REF!,2,0)</f>
        <v>#REF!</v>
      </c>
      <c r="M179" s="24" t="s">
        <v>16</v>
      </c>
      <c r="N179" s="24" t="s">
        <v>17</v>
      </c>
      <c r="O179" s="35"/>
    </row>
    <row r="180" spans="2:15" x14ac:dyDescent="0.25">
      <c r="B180" s="12"/>
      <c r="C180" s="13"/>
      <c r="D180" s="13"/>
      <c r="E180" s="13"/>
      <c r="F180" s="13"/>
      <c r="G180" s="13"/>
      <c r="H180" s="44"/>
      <c r="I180" s="44"/>
      <c r="J180" s="20">
        <f t="shared" si="4"/>
        <v>0</v>
      </c>
      <c r="K180" s="32"/>
      <c r="L180" s="25" t="e">
        <f>VLOOKUP(G180,#REF!,2,0)</f>
        <v>#REF!</v>
      </c>
      <c r="M180" s="24" t="s">
        <v>16</v>
      </c>
      <c r="N180" s="24" t="s">
        <v>17</v>
      </c>
      <c r="O180" s="35"/>
    </row>
    <row r="181" spans="2:15" x14ac:dyDescent="0.25">
      <c r="B181" s="12"/>
      <c r="C181" s="13"/>
      <c r="D181" s="13"/>
      <c r="E181" s="13"/>
      <c r="F181" s="13"/>
      <c r="G181" s="13"/>
      <c r="H181" s="44"/>
      <c r="I181" s="44"/>
      <c r="J181" s="20">
        <f t="shared" si="4"/>
        <v>0</v>
      </c>
      <c r="K181" s="32"/>
      <c r="L181" s="25" t="e">
        <f>VLOOKUP(G181,#REF!,2,0)</f>
        <v>#REF!</v>
      </c>
      <c r="M181" s="24" t="s">
        <v>16</v>
      </c>
      <c r="N181" s="24" t="s">
        <v>17</v>
      </c>
      <c r="O181" s="35"/>
    </row>
    <row r="182" spans="2:15" x14ac:dyDescent="0.25">
      <c r="B182" s="12"/>
      <c r="C182" s="13"/>
      <c r="D182" s="13"/>
      <c r="E182" s="13"/>
      <c r="F182" s="13"/>
      <c r="G182" s="13"/>
      <c r="H182" s="44"/>
      <c r="I182" s="44"/>
      <c r="J182" s="20">
        <f t="shared" si="4"/>
        <v>0</v>
      </c>
      <c r="K182" s="32"/>
      <c r="L182" s="25" t="e">
        <f>VLOOKUP(G182,#REF!,2,0)</f>
        <v>#REF!</v>
      </c>
      <c r="M182" s="24" t="s">
        <v>16</v>
      </c>
      <c r="N182" s="24" t="s">
        <v>17</v>
      </c>
      <c r="O182" s="35"/>
    </row>
    <row r="183" spans="2:15" x14ac:dyDescent="0.25">
      <c r="B183" s="12"/>
      <c r="C183" s="13"/>
      <c r="D183" s="13"/>
      <c r="E183" s="13"/>
      <c r="F183" s="13"/>
      <c r="G183" s="13"/>
      <c r="H183" s="44"/>
      <c r="I183" s="44"/>
      <c r="J183" s="20">
        <f t="shared" si="4"/>
        <v>0</v>
      </c>
      <c r="K183" s="32"/>
      <c r="L183" s="25" t="e">
        <f>VLOOKUP(G183,#REF!,2,0)</f>
        <v>#REF!</v>
      </c>
      <c r="M183" s="24" t="s">
        <v>16</v>
      </c>
      <c r="N183" s="24" t="s">
        <v>17</v>
      </c>
      <c r="O183" s="35"/>
    </row>
    <row r="184" spans="2:15" x14ac:dyDescent="0.25">
      <c r="B184" s="12"/>
      <c r="C184" s="13"/>
      <c r="D184" s="13"/>
      <c r="E184" s="13"/>
      <c r="F184" s="13"/>
      <c r="G184" s="13"/>
      <c r="H184" s="44"/>
      <c r="I184" s="44"/>
      <c r="J184" s="20">
        <f t="shared" si="4"/>
        <v>0</v>
      </c>
      <c r="K184" s="32"/>
      <c r="L184" s="25" t="e">
        <f>VLOOKUP(G184,#REF!,2,0)</f>
        <v>#REF!</v>
      </c>
      <c r="M184" s="24" t="s">
        <v>16</v>
      </c>
      <c r="N184" s="24" t="s">
        <v>17</v>
      </c>
      <c r="O184" s="35"/>
    </row>
    <row r="185" spans="2:15" x14ac:dyDescent="0.25">
      <c r="B185" s="12"/>
      <c r="C185" s="13"/>
      <c r="D185" s="13"/>
      <c r="E185" s="13"/>
      <c r="F185" s="13"/>
      <c r="G185" s="13"/>
      <c r="H185" s="44"/>
      <c r="I185" s="44"/>
      <c r="J185" s="20">
        <f t="shared" si="4"/>
        <v>0</v>
      </c>
      <c r="K185" s="32"/>
      <c r="L185" s="25" t="e">
        <f>VLOOKUP(G185,#REF!,2,0)</f>
        <v>#REF!</v>
      </c>
      <c r="M185" s="24" t="s">
        <v>16</v>
      </c>
      <c r="N185" s="24" t="s">
        <v>17</v>
      </c>
      <c r="O185" s="35"/>
    </row>
    <row r="186" spans="2:15" x14ac:dyDescent="0.25">
      <c r="B186" s="12"/>
      <c r="C186" s="13"/>
      <c r="D186" s="13"/>
      <c r="E186" s="13"/>
      <c r="F186" s="13"/>
      <c r="G186" s="13"/>
      <c r="H186" s="44"/>
      <c r="I186" s="44"/>
      <c r="J186" s="20">
        <f t="shared" si="4"/>
        <v>0</v>
      </c>
      <c r="K186" s="32"/>
      <c r="L186" s="25" t="e">
        <f>VLOOKUP(G186,#REF!,2,0)</f>
        <v>#REF!</v>
      </c>
      <c r="M186" s="24" t="s">
        <v>16</v>
      </c>
      <c r="N186" s="24" t="s">
        <v>17</v>
      </c>
      <c r="O186" s="35"/>
    </row>
    <row r="187" spans="2:15" x14ac:dyDescent="0.25">
      <c r="B187" s="12"/>
      <c r="C187" s="13"/>
      <c r="D187" s="13"/>
      <c r="E187" s="13"/>
      <c r="F187" s="13"/>
      <c r="G187" s="13"/>
      <c r="H187" s="44"/>
      <c r="I187" s="44"/>
      <c r="J187" s="20">
        <f t="shared" si="4"/>
        <v>0</v>
      </c>
      <c r="K187" s="32"/>
      <c r="L187" s="25" t="e">
        <f>VLOOKUP(G187,#REF!,2,0)</f>
        <v>#REF!</v>
      </c>
      <c r="M187" s="24" t="s">
        <v>16</v>
      </c>
      <c r="N187" s="24" t="s">
        <v>17</v>
      </c>
      <c r="O187" s="35"/>
    </row>
    <row r="188" spans="2:15" x14ac:dyDescent="0.25">
      <c r="B188" s="12"/>
      <c r="C188" s="13"/>
      <c r="D188" s="13"/>
      <c r="E188" s="13"/>
      <c r="F188" s="13"/>
      <c r="G188" s="13"/>
      <c r="H188" s="44"/>
      <c r="I188" s="44"/>
      <c r="J188" s="20">
        <f t="shared" si="4"/>
        <v>0</v>
      </c>
      <c r="K188" s="32"/>
      <c r="L188" s="25" t="e">
        <f>VLOOKUP(G188,#REF!,2,0)</f>
        <v>#REF!</v>
      </c>
      <c r="M188" s="24" t="s">
        <v>16</v>
      </c>
      <c r="N188" s="24" t="s">
        <v>17</v>
      </c>
      <c r="O188" s="35"/>
    </row>
    <row r="189" spans="2:15" x14ac:dyDescent="0.25">
      <c r="B189" s="12"/>
      <c r="C189" s="13"/>
      <c r="D189" s="13"/>
      <c r="E189" s="13"/>
      <c r="F189" s="13"/>
      <c r="G189" s="13"/>
      <c r="H189" s="44"/>
      <c r="I189" s="44"/>
      <c r="J189" s="20">
        <f t="shared" si="4"/>
        <v>0</v>
      </c>
      <c r="K189" s="32"/>
      <c r="L189" s="25" t="e">
        <f>VLOOKUP(G189,#REF!,2,0)</f>
        <v>#REF!</v>
      </c>
      <c r="M189" s="24" t="s">
        <v>16</v>
      </c>
      <c r="N189" s="24" t="s">
        <v>17</v>
      </c>
      <c r="O189" s="35"/>
    </row>
    <row r="190" spans="2:15" x14ac:dyDescent="0.25">
      <c r="B190" s="12"/>
      <c r="C190" s="13"/>
      <c r="D190" s="13"/>
      <c r="E190" s="13"/>
      <c r="F190" s="13"/>
      <c r="G190" s="13"/>
      <c r="H190" s="44"/>
      <c r="I190" s="44"/>
      <c r="J190" s="20">
        <f t="shared" si="4"/>
        <v>0</v>
      </c>
      <c r="K190" s="32"/>
      <c r="L190" s="25" t="e">
        <f>VLOOKUP(G190,#REF!,2,0)</f>
        <v>#REF!</v>
      </c>
      <c r="M190" s="24" t="s">
        <v>16</v>
      </c>
      <c r="N190" s="24" t="s">
        <v>17</v>
      </c>
      <c r="O190" s="35"/>
    </row>
    <row r="191" spans="2:15" x14ac:dyDescent="0.25">
      <c r="B191" s="12"/>
      <c r="C191" s="14"/>
      <c r="D191" s="14"/>
      <c r="E191" s="13"/>
      <c r="F191" s="14"/>
      <c r="G191" s="13"/>
      <c r="H191" s="49"/>
      <c r="I191" s="49"/>
      <c r="J191" s="20">
        <f t="shared" si="4"/>
        <v>0</v>
      </c>
      <c r="K191" s="32"/>
      <c r="L191" s="25" t="e">
        <f>VLOOKUP(G191,#REF!,2,0)</f>
        <v>#REF!</v>
      </c>
      <c r="M191" s="24" t="s">
        <v>16</v>
      </c>
      <c r="N191" s="24" t="s">
        <v>17</v>
      </c>
      <c r="O191" s="35"/>
    </row>
    <row r="192" spans="2:15" x14ac:dyDescent="0.25">
      <c r="B192" s="12"/>
      <c r="C192" s="14"/>
      <c r="D192" s="14"/>
      <c r="E192" s="13"/>
      <c r="F192" s="14"/>
      <c r="G192" s="13"/>
      <c r="H192" s="49"/>
      <c r="I192" s="49"/>
      <c r="J192" s="20">
        <f t="shared" si="4"/>
        <v>0</v>
      </c>
      <c r="K192" s="32"/>
      <c r="L192" s="25" t="e">
        <f>VLOOKUP(G192,#REF!,2,0)</f>
        <v>#REF!</v>
      </c>
      <c r="M192" s="24" t="s">
        <v>16</v>
      </c>
      <c r="N192" s="24" t="s">
        <v>17</v>
      </c>
      <c r="O192" s="35"/>
    </row>
    <row r="193" spans="2:15" x14ac:dyDescent="0.25">
      <c r="B193" s="12"/>
      <c r="C193" s="14"/>
      <c r="D193" s="14"/>
      <c r="E193" s="13"/>
      <c r="F193" s="14"/>
      <c r="G193" s="13"/>
      <c r="H193" s="49"/>
      <c r="I193" s="49"/>
      <c r="J193" s="20">
        <f t="shared" si="4"/>
        <v>0</v>
      </c>
      <c r="K193" s="24"/>
      <c r="L193" s="25" t="e">
        <f>VLOOKUP(G193,#REF!,2,0)</f>
        <v>#REF!</v>
      </c>
      <c r="M193" s="24" t="s">
        <v>16</v>
      </c>
      <c r="N193" s="24" t="s">
        <v>17</v>
      </c>
      <c r="O193" s="35"/>
    </row>
    <row r="194" spans="2:15" x14ac:dyDescent="0.25">
      <c r="B194" s="12"/>
      <c r="C194" s="14"/>
      <c r="D194" s="14"/>
      <c r="E194" s="13"/>
      <c r="F194" s="14"/>
      <c r="G194" s="13"/>
      <c r="H194" s="49"/>
      <c r="I194" s="49"/>
      <c r="J194" s="20">
        <f t="shared" si="4"/>
        <v>0</v>
      </c>
      <c r="K194" s="24"/>
      <c r="L194" s="25" t="e">
        <f>VLOOKUP(G194,#REF!,2,0)</f>
        <v>#REF!</v>
      </c>
      <c r="M194" s="24" t="s">
        <v>16</v>
      </c>
      <c r="N194" s="24" t="s">
        <v>17</v>
      </c>
      <c r="O194" s="35"/>
    </row>
    <row r="195" spans="2:15" x14ac:dyDescent="0.25">
      <c r="B195" s="12"/>
      <c r="C195" s="14"/>
      <c r="D195" s="14"/>
      <c r="E195" s="13"/>
      <c r="F195" s="14"/>
      <c r="G195" s="13"/>
      <c r="H195" s="49"/>
      <c r="I195" s="49"/>
      <c r="J195" s="20">
        <f t="shared" si="4"/>
        <v>0</v>
      </c>
      <c r="K195" s="24"/>
      <c r="L195" s="25" t="e">
        <f>VLOOKUP(G195,#REF!,2,0)</f>
        <v>#REF!</v>
      </c>
      <c r="M195" s="24" t="s">
        <v>16</v>
      </c>
      <c r="N195" s="24" t="s">
        <v>17</v>
      </c>
      <c r="O195" s="35"/>
    </row>
    <row r="196" spans="2:15" x14ac:dyDescent="0.25">
      <c r="B196" s="12"/>
      <c r="C196" s="14"/>
      <c r="D196" s="14"/>
      <c r="E196" s="13"/>
      <c r="F196" s="14"/>
      <c r="G196" s="13"/>
      <c r="H196" s="49"/>
      <c r="I196" s="49"/>
      <c r="J196" s="20">
        <f t="shared" si="4"/>
        <v>0</v>
      </c>
      <c r="K196" s="24"/>
      <c r="L196" s="25" t="e">
        <f>VLOOKUP(G196,#REF!,2,0)</f>
        <v>#REF!</v>
      </c>
      <c r="M196" s="24" t="s">
        <v>16</v>
      </c>
      <c r="N196" s="24" t="s">
        <v>17</v>
      </c>
      <c r="O196" s="35"/>
    </row>
    <row r="197" spans="2:15" x14ac:dyDescent="0.25">
      <c r="B197" s="12"/>
      <c r="C197" s="14"/>
      <c r="D197" s="14"/>
      <c r="E197" s="13"/>
      <c r="F197" s="14"/>
      <c r="G197" s="13"/>
      <c r="H197" s="49"/>
      <c r="I197" s="49"/>
      <c r="J197" s="20">
        <f t="shared" si="4"/>
        <v>0</v>
      </c>
      <c r="K197" s="24"/>
      <c r="L197" s="25" t="e">
        <f>VLOOKUP(G197,#REF!,2,0)</f>
        <v>#REF!</v>
      </c>
      <c r="M197" s="24" t="s">
        <v>16</v>
      </c>
      <c r="N197" s="24" t="s">
        <v>17</v>
      </c>
      <c r="O197" s="35"/>
    </row>
    <row r="198" spans="2:15" x14ac:dyDescent="0.25">
      <c r="B198" s="12"/>
      <c r="C198" s="14"/>
      <c r="D198" s="14"/>
      <c r="E198" s="13"/>
      <c r="F198" s="14"/>
      <c r="G198" s="13"/>
      <c r="H198" s="49"/>
      <c r="I198" s="49"/>
      <c r="J198" s="20">
        <f t="shared" ref="J198:J261" si="5">I198-H198</f>
        <v>0</v>
      </c>
      <c r="K198" s="24"/>
      <c r="L198" s="25" t="e">
        <f>VLOOKUP(G198,#REF!,2,0)</f>
        <v>#REF!</v>
      </c>
      <c r="M198" s="24" t="s">
        <v>16</v>
      </c>
      <c r="N198" s="24" t="s">
        <v>17</v>
      </c>
      <c r="O198" s="35"/>
    </row>
    <row r="199" spans="2:15" x14ac:dyDescent="0.25">
      <c r="B199" s="12"/>
      <c r="C199" s="14"/>
      <c r="D199" s="14"/>
      <c r="E199" s="13"/>
      <c r="F199" s="14"/>
      <c r="G199" s="13"/>
      <c r="H199" s="49"/>
      <c r="I199" s="49"/>
      <c r="J199" s="20">
        <f t="shared" si="5"/>
        <v>0</v>
      </c>
      <c r="K199" s="24"/>
      <c r="L199" s="25" t="e">
        <f>VLOOKUP(G199,#REF!,2,0)</f>
        <v>#REF!</v>
      </c>
      <c r="M199" s="24" t="s">
        <v>16</v>
      </c>
      <c r="N199" s="24" t="s">
        <v>17</v>
      </c>
      <c r="O199" s="35"/>
    </row>
    <row r="200" spans="2:15" x14ac:dyDescent="0.25">
      <c r="B200" s="12"/>
      <c r="C200" s="14"/>
      <c r="D200" s="14"/>
      <c r="E200" s="13"/>
      <c r="F200" s="14"/>
      <c r="G200" s="13"/>
      <c r="H200" s="49"/>
      <c r="I200" s="49"/>
      <c r="J200" s="20">
        <f t="shared" si="5"/>
        <v>0</v>
      </c>
      <c r="K200" s="24"/>
      <c r="L200" s="25" t="e">
        <f>VLOOKUP(G200,#REF!,2,0)</f>
        <v>#REF!</v>
      </c>
      <c r="M200" s="24" t="s">
        <v>16</v>
      </c>
      <c r="N200" s="24" t="s">
        <v>17</v>
      </c>
      <c r="O200" s="35"/>
    </row>
    <row r="201" spans="2:15" x14ac:dyDescent="0.25">
      <c r="B201" s="12"/>
      <c r="C201" s="14"/>
      <c r="D201" s="14"/>
      <c r="E201" s="13"/>
      <c r="F201" s="14"/>
      <c r="G201" s="13"/>
      <c r="H201" s="49"/>
      <c r="I201" s="49"/>
      <c r="J201" s="20">
        <f t="shared" si="5"/>
        <v>0</v>
      </c>
      <c r="K201" s="24"/>
      <c r="L201" s="25" t="e">
        <f>VLOOKUP(G201,#REF!,2,0)</f>
        <v>#REF!</v>
      </c>
      <c r="M201" s="24" t="s">
        <v>16</v>
      </c>
      <c r="N201" s="24" t="s">
        <v>17</v>
      </c>
      <c r="O201" s="35"/>
    </row>
    <row r="202" spans="2:15" x14ac:dyDescent="0.25">
      <c r="B202" s="12"/>
      <c r="C202" s="14"/>
      <c r="D202" s="14"/>
      <c r="E202" s="13"/>
      <c r="F202" s="14"/>
      <c r="G202" s="13"/>
      <c r="H202" s="49"/>
      <c r="I202" s="49"/>
      <c r="J202" s="20">
        <f t="shared" si="5"/>
        <v>0</v>
      </c>
      <c r="K202" s="24"/>
      <c r="L202" s="25" t="e">
        <f>VLOOKUP(G202,#REF!,2,0)</f>
        <v>#REF!</v>
      </c>
      <c r="M202" s="24" t="s">
        <v>16</v>
      </c>
      <c r="N202" s="24" t="s">
        <v>17</v>
      </c>
      <c r="O202" s="35"/>
    </row>
    <row r="203" spans="2:15" x14ac:dyDescent="0.25">
      <c r="B203" s="12"/>
      <c r="C203" s="14"/>
      <c r="D203" s="14"/>
      <c r="E203" s="13"/>
      <c r="F203" s="14"/>
      <c r="G203" s="13"/>
      <c r="H203" s="49"/>
      <c r="I203" s="49"/>
      <c r="J203" s="20">
        <f t="shared" si="5"/>
        <v>0</v>
      </c>
      <c r="K203" s="24"/>
      <c r="L203" s="25" t="e">
        <f>VLOOKUP(G203,#REF!,2,0)</f>
        <v>#REF!</v>
      </c>
      <c r="M203" s="24" t="s">
        <v>16</v>
      </c>
      <c r="N203" s="24" t="s">
        <v>17</v>
      </c>
      <c r="O203" s="35"/>
    </row>
    <row r="204" spans="2:15" x14ac:dyDescent="0.25">
      <c r="B204" s="12"/>
      <c r="C204" s="14"/>
      <c r="D204" s="14"/>
      <c r="E204" s="13"/>
      <c r="F204" s="14"/>
      <c r="G204" s="13"/>
      <c r="H204" s="49"/>
      <c r="I204" s="49"/>
      <c r="J204" s="20">
        <f t="shared" si="5"/>
        <v>0</v>
      </c>
      <c r="K204" s="24"/>
      <c r="L204" s="25" t="e">
        <f>VLOOKUP(G204,#REF!,2,0)</f>
        <v>#REF!</v>
      </c>
      <c r="M204" s="24" t="s">
        <v>16</v>
      </c>
      <c r="N204" s="24" t="s">
        <v>17</v>
      </c>
      <c r="O204" s="35"/>
    </row>
    <row r="205" spans="2:15" x14ac:dyDescent="0.25">
      <c r="B205" s="12"/>
      <c r="C205" s="14"/>
      <c r="D205" s="14"/>
      <c r="E205" s="13"/>
      <c r="F205" s="14"/>
      <c r="G205" s="13"/>
      <c r="H205" s="49"/>
      <c r="I205" s="49"/>
      <c r="J205" s="20">
        <f t="shared" si="5"/>
        <v>0</v>
      </c>
      <c r="K205" s="24"/>
      <c r="L205" s="25" t="e">
        <f>VLOOKUP(G205,#REF!,2,0)</f>
        <v>#REF!</v>
      </c>
      <c r="M205" s="24" t="s">
        <v>16</v>
      </c>
      <c r="N205" s="24" t="s">
        <v>17</v>
      </c>
      <c r="O205" s="35"/>
    </row>
    <row r="206" spans="2:15" x14ac:dyDescent="0.25">
      <c r="B206" s="12"/>
      <c r="C206" s="14"/>
      <c r="D206" s="14"/>
      <c r="E206" s="13"/>
      <c r="F206" s="14"/>
      <c r="G206" s="13"/>
      <c r="H206" s="49"/>
      <c r="I206" s="49"/>
      <c r="J206" s="20">
        <f t="shared" si="5"/>
        <v>0</v>
      </c>
      <c r="K206" s="24"/>
      <c r="L206" s="25" t="e">
        <f>VLOOKUP(G206,#REF!,2,0)</f>
        <v>#REF!</v>
      </c>
      <c r="M206" s="24" t="s">
        <v>16</v>
      </c>
      <c r="N206" s="24" t="s">
        <v>17</v>
      </c>
      <c r="O206" s="35"/>
    </row>
    <row r="207" spans="2:15" x14ac:dyDescent="0.25">
      <c r="B207" s="12"/>
      <c r="C207" s="14"/>
      <c r="D207" s="14"/>
      <c r="E207" s="13"/>
      <c r="F207" s="14"/>
      <c r="G207" s="13"/>
      <c r="H207" s="49"/>
      <c r="I207" s="49"/>
      <c r="J207" s="20">
        <f t="shared" si="5"/>
        <v>0</v>
      </c>
      <c r="K207" s="24"/>
      <c r="L207" s="25" t="e">
        <f>VLOOKUP(G207,#REF!,2,0)</f>
        <v>#REF!</v>
      </c>
      <c r="M207" s="24" t="s">
        <v>16</v>
      </c>
      <c r="N207" s="24" t="s">
        <v>17</v>
      </c>
      <c r="O207" s="35"/>
    </row>
    <row r="208" spans="2:15" x14ac:dyDescent="0.25">
      <c r="B208" s="12"/>
      <c r="C208" s="14"/>
      <c r="D208" s="14"/>
      <c r="E208" s="13"/>
      <c r="F208" s="14"/>
      <c r="G208" s="13"/>
      <c r="H208" s="49"/>
      <c r="I208" s="49"/>
      <c r="J208" s="20">
        <f t="shared" si="5"/>
        <v>0</v>
      </c>
      <c r="K208" s="24"/>
      <c r="L208" s="25" t="e">
        <f>VLOOKUP(G208,#REF!,2,0)</f>
        <v>#REF!</v>
      </c>
      <c r="M208" s="24" t="s">
        <v>16</v>
      </c>
      <c r="N208" s="24" t="s">
        <v>17</v>
      </c>
      <c r="O208" s="35"/>
    </row>
    <row r="209" spans="2:15" x14ac:dyDescent="0.25">
      <c r="B209" s="12"/>
      <c r="C209" s="14"/>
      <c r="D209" s="14"/>
      <c r="E209" s="13"/>
      <c r="F209" s="14"/>
      <c r="G209" s="13"/>
      <c r="H209" s="49"/>
      <c r="I209" s="49"/>
      <c r="J209" s="20">
        <f t="shared" si="5"/>
        <v>0</v>
      </c>
      <c r="K209" s="24"/>
      <c r="L209" s="25" t="e">
        <f>VLOOKUP(G209,#REF!,2,0)</f>
        <v>#REF!</v>
      </c>
      <c r="M209" s="24" t="s">
        <v>16</v>
      </c>
      <c r="N209" s="24" t="s">
        <v>17</v>
      </c>
      <c r="O209" s="35"/>
    </row>
    <row r="210" spans="2:15" x14ac:dyDescent="0.25">
      <c r="B210" s="12"/>
      <c r="C210" s="14"/>
      <c r="D210" s="14"/>
      <c r="E210" s="13"/>
      <c r="F210" s="14"/>
      <c r="G210" s="13"/>
      <c r="H210" s="49"/>
      <c r="I210" s="49"/>
      <c r="J210" s="20">
        <f t="shared" si="5"/>
        <v>0</v>
      </c>
      <c r="K210" s="24"/>
      <c r="L210" s="25" t="e">
        <f>VLOOKUP(G210,#REF!,2,0)</f>
        <v>#REF!</v>
      </c>
      <c r="M210" s="24" t="s">
        <v>16</v>
      </c>
      <c r="N210" s="24" t="s">
        <v>17</v>
      </c>
      <c r="O210" s="35"/>
    </row>
    <row r="211" spans="2:15" x14ac:dyDescent="0.25">
      <c r="B211" s="12"/>
      <c r="C211" s="14"/>
      <c r="D211" s="14"/>
      <c r="E211" s="13"/>
      <c r="F211" s="14"/>
      <c r="G211" s="13"/>
      <c r="H211" s="49"/>
      <c r="I211" s="49"/>
      <c r="J211" s="20">
        <f t="shared" si="5"/>
        <v>0</v>
      </c>
      <c r="K211" s="24"/>
      <c r="L211" s="25" t="e">
        <f>VLOOKUP(G211,#REF!,2,0)</f>
        <v>#REF!</v>
      </c>
      <c r="M211" s="24" t="s">
        <v>16</v>
      </c>
      <c r="N211" s="24" t="s">
        <v>17</v>
      </c>
      <c r="O211" s="35"/>
    </row>
    <row r="212" spans="2:15" x14ac:dyDescent="0.25">
      <c r="B212" s="12"/>
      <c r="C212" s="14"/>
      <c r="D212" s="14"/>
      <c r="E212" s="13"/>
      <c r="F212" s="14"/>
      <c r="G212" s="13"/>
      <c r="H212" s="49"/>
      <c r="I212" s="49"/>
      <c r="J212" s="20">
        <f t="shared" si="5"/>
        <v>0</v>
      </c>
      <c r="K212" s="24"/>
      <c r="L212" s="25" t="e">
        <f>VLOOKUP(G212,#REF!,2,0)</f>
        <v>#REF!</v>
      </c>
      <c r="M212" s="24" t="s">
        <v>16</v>
      </c>
      <c r="N212" s="24" t="s">
        <v>17</v>
      </c>
      <c r="O212" s="35"/>
    </row>
    <row r="213" spans="2:15" x14ac:dyDescent="0.25">
      <c r="B213" s="12"/>
      <c r="C213" s="14"/>
      <c r="D213" s="14"/>
      <c r="E213" s="13"/>
      <c r="F213" s="14"/>
      <c r="G213" s="13"/>
      <c r="H213" s="49"/>
      <c r="I213" s="49"/>
      <c r="J213" s="20">
        <f t="shared" si="5"/>
        <v>0</v>
      </c>
      <c r="K213" s="24"/>
      <c r="L213" s="25" t="e">
        <f>VLOOKUP(G213,#REF!,2,0)</f>
        <v>#REF!</v>
      </c>
      <c r="M213" s="24" t="s">
        <v>16</v>
      </c>
      <c r="N213" s="24" t="s">
        <v>17</v>
      </c>
      <c r="O213" s="35"/>
    </row>
    <row r="214" spans="2:15" x14ac:dyDescent="0.25">
      <c r="B214" s="12"/>
      <c r="C214" s="14"/>
      <c r="D214" s="14"/>
      <c r="E214" s="13"/>
      <c r="F214" s="14"/>
      <c r="G214" s="13"/>
      <c r="H214" s="49"/>
      <c r="I214" s="49"/>
      <c r="J214" s="20">
        <f t="shared" si="5"/>
        <v>0</v>
      </c>
      <c r="K214" s="24"/>
      <c r="L214" s="25" t="e">
        <f>VLOOKUP(G214,#REF!,2,0)</f>
        <v>#REF!</v>
      </c>
      <c r="M214" s="24" t="s">
        <v>16</v>
      </c>
      <c r="N214" s="24" t="s">
        <v>17</v>
      </c>
      <c r="O214" s="35"/>
    </row>
    <row r="215" spans="2:15" x14ac:dyDescent="0.25">
      <c r="B215" s="12"/>
      <c r="C215" s="14"/>
      <c r="D215" s="14"/>
      <c r="E215" s="13"/>
      <c r="F215" s="14"/>
      <c r="G215" s="13"/>
      <c r="H215" s="49"/>
      <c r="I215" s="49"/>
      <c r="J215" s="20">
        <f t="shared" si="5"/>
        <v>0</v>
      </c>
      <c r="K215" s="24"/>
      <c r="L215" s="25" t="e">
        <f>VLOOKUP(G215,#REF!,2,0)</f>
        <v>#REF!</v>
      </c>
      <c r="M215" s="24" t="s">
        <v>16</v>
      </c>
      <c r="N215" s="24" t="s">
        <v>17</v>
      </c>
      <c r="O215" s="35"/>
    </row>
    <row r="216" spans="2:15" x14ac:dyDescent="0.25">
      <c r="B216" s="12"/>
      <c r="C216" s="14"/>
      <c r="D216" s="14"/>
      <c r="E216" s="13"/>
      <c r="F216" s="14"/>
      <c r="G216" s="13"/>
      <c r="H216" s="49"/>
      <c r="I216" s="49"/>
      <c r="J216" s="20">
        <f t="shared" si="5"/>
        <v>0</v>
      </c>
      <c r="K216" s="24"/>
      <c r="L216" s="25" t="e">
        <f>VLOOKUP(G216,#REF!,2,0)</f>
        <v>#REF!</v>
      </c>
      <c r="M216" s="24" t="s">
        <v>16</v>
      </c>
      <c r="N216" s="24" t="s">
        <v>17</v>
      </c>
      <c r="O216" s="35"/>
    </row>
    <row r="217" spans="2:15" x14ac:dyDescent="0.25">
      <c r="B217" s="12"/>
      <c r="C217" s="14"/>
      <c r="D217" s="14"/>
      <c r="E217" s="13"/>
      <c r="F217" s="14"/>
      <c r="G217" s="13"/>
      <c r="H217" s="49"/>
      <c r="I217" s="49"/>
      <c r="J217" s="20">
        <f t="shared" si="5"/>
        <v>0</v>
      </c>
      <c r="K217" s="24"/>
      <c r="L217" s="25" t="e">
        <f>VLOOKUP(G217,#REF!,2,0)</f>
        <v>#REF!</v>
      </c>
      <c r="M217" s="24" t="s">
        <v>16</v>
      </c>
      <c r="N217" s="24" t="s">
        <v>17</v>
      </c>
      <c r="O217" s="35"/>
    </row>
    <row r="218" spans="2:15" x14ac:dyDescent="0.25">
      <c r="B218" s="12"/>
      <c r="C218" s="14"/>
      <c r="D218" s="14"/>
      <c r="E218" s="13"/>
      <c r="F218" s="14"/>
      <c r="G218" s="13"/>
      <c r="H218" s="49"/>
      <c r="I218" s="49"/>
      <c r="J218" s="20">
        <f t="shared" si="5"/>
        <v>0</v>
      </c>
      <c r="K218" s="24"/>
      <c r="L218" s="25" t="e">
        <f>VLOOKUP(G218,#REF!,2,0)</f>
        <v>#REF!</v>
      </c>
      <c r="M218" s="24" t="s">
        <v>16</v>
      </c>
      <c r="N218" s="24" t="s">
        <v>17</v>
      </c>
      <c r="O218" s="35"/>
    </row>
    <row r="219" spans="2:15" x14ac:dyDescent="0.25">
      <c r="B219" s="12"/>
      <c r="C219" s="14"/>
      <c r="D219" s="14"/>
      <c r="E219" s="13"/>
      <c r="F219" s="14"/>
      <c r="G219" s="13"/>
      <c r="H219" s="49"/>
      <c r="I219" s="49"/>
      <c r="J219" s="20">
        <f t="shared" si="5"/>
        <v>0</v>
      </c>
      <c r="K219" s="24"/>
      <c r="L219" s="25" t="e">
        <f>VLOOKUP(G219,#REF!,2,0)</f>
        <v>#REF!</v>
      </c>
      <c r="M219" s="24" t="s">
        <v>16</v>
      </c>
      <c r="N219" s="24" t="s">
        <v>17</v>
      </c>
      <c r="O219" s="35"/>
    </row>
    <row r="220" spans="2:15" x14ac:dyDescent="0.25">
      <c r="B220" s="12"/>
      <c r="C220" s="14"/>
      <c r="D220" s="14"/>
      <c r="E220" s="13"/>
      <c r="F220" s="14"/>
      <c r="G220" s="13"/>
      <c r="H220" s="49"/>
      <c r="I220" s="49"/>
      <c r="J220" s="20">
        <f t="shared" si="5"/>
        <v>0</v>
      </c>
      <c r="K220" s="24"/>
      <c r="L220" s="25" t="e">
        <f>VLOOKUP(G220,#REF!,2,0)</f>
        <v>#REF!</v>
      </c>
      <c r="M220" s="24" t="s">
        <v>16</v>
      </c>
      <c r="N220" s="24" t="s">
        <v>17</v>
      </c>
      <c r="O220" s="35"/>
    </row>
    <row r="221" spans="2:15" x14ac:dyDescent="0.25">
      <c r="B221" s="12"/>
      <c r="C221" s="14"/>
      <c r="D221" s="14"/>
      <c r="E221" s="13"/>
      <c r="F221" s="14"/>
      <c r="G221" s="13"/>
      <c r="H221" s="49"/>
      <c r="I221" s="49"/>
      <c r="J221" s="20">
        <f t="shared" si="5"/>
        <v>0</v>
      </c>
      <c r="K221" s="24"/>
      <c r="L221" s="25" t="e">
        <f>VLOOKUP(G221,#REF!,2,0)</f>
        <v>#REF!</v>
      </c>
      <c r="M221" s="24" t="s">
        <v>16</v>
      </c>
      <c r="N221" s="24" t="s">
        <v>17</v>
      </c>
      <c r="O221" s="35"/>
    </row>
    <row r="222" spans="2:15" x14ac:dyDescent="0.25">
      <c r="B222" s="12"/>
      <c r="C222" s="14"/>
      <c r="D222" s="14"/>
      <c r="E222" s="13"/>
      <c r="F222" s="14"/>
      <c r="G222" s="13"/>
      <c r="H222" s="49"/>
      <c r="I222" s="49"/>
      <c r="J222" s="20">
        <f t="shared" si="5"/>
        <v>0</v>
      </c>
      <c r="K222" s="24"/>
      <c r="L222" s="25" t="e">
        <f>VLOOKUP(G222,#REF!,2,0)</f>
        <v>#REF!</v>
      </c>
      <c r="M222" s="24" t="s">
        <v>16</v>
      </c>
      <c r="N222" s="24" t="s">
        <v>17</v>
      </c>
      <c r="O222" s="35"/>
    </row>
    <row r="223" spans="2:15" x14ac:dyDescent="0.25">
      <c r="B223" s="12"/>
      <c r="C223" s="14"/>
      <c r="D223" s="14"/>
      <c r="E223" s="13"/>
      <c r="F223" s="14"/>
      <c r="G223" s="13"/>
      <c r="H223" s="49"/>
      <c r="I223" s="49"/>
      <c r="J223" s="20">
        <f t="shared" si="5"/>
        <v>0</v>
      </c>
      <c r="K223" s="24"/>
      <c r="L223" s="25" t="e">
        <f>VLOOKUP(G223,#REF!,2,0)</f>
        <v>#REF!</v>
      </c>
      <c r="M223" s="24" t="s">
        <v>16</v>
      </c>
      <c r="N223" s="24" t="s">
        <v>17</v>
      </c>
      <c r="O223" s="35"/>
    </row>
    <row r="224" spans="2:15" x14ac:dyDescent="0.25">
      <c r="B224" s="12"/>
      <c r="C224" s="14"/>
      <c r="D224" s="14"/>
      <c r="E224" s="13"/>
      <c r="F224" s="14"/>
      <c r="G224" s="13"/>
      <c r="H224" s="49"/>
      <c r="I224" s="49"/>
      <c r="J224" s="20">
        <f t="shared" si="5"/>
        <v>0</v>
      </c>
      <c r="K224" s="24"/>
      <c r="L224" s="25" t="e">
        <f>VLOOKUP(G224,#REF!,2,0)</f>
        <v>#REF!</v>
      </c>
      <c r="M224" s="24" t="s">
        <v>16</v>
      </c>
      <c r="N224" s="24" t="s">
        <v>17</v>
      </c>
      <c r="O224" s="35"/>
    </row>
    <row r="225" spans="2:15" x14ac:dyDescent="0.25">
      <c r="B225" s="12"/>
      <c r="C225" s="14"/>
      <c r="D225" s="14"/>
      <c r="E225" s="13"/>
      <c r="F225" s="14"/>
      <c r="G225" s="13"/>
      <c r="H225" s="49"/>
      <c r="I225" s="49"/>
      <c r="J225" s="20">
        <f t="shared" si="5"/>
        <v>0</v>
      </c>
      <c r="K225" s="24"/>
      <c r="L225" s="25" t="e">
        <f>VLOOKUP(G225,#REF!,2,0)</f>
        <v>#REF!</v>
      </c>
      <c r="M225" s="24" t="s">
        <v>16</v>
      </c>
      <c r="N225" s="24" t="s">
        <v>17</v>
      </c>
      <c r="O225" s="35"/>
    </row>
    <row r="226" spans="2:15" x14ac:dyDescent="0.25">
      <c r="B226" s="12"/>
      <c r="C226" s="14"/>
      <c r="D226" s="14"/>
      <c r="E226" s="13"/>
      <c r="F226" s="14"/>
      <c r="G226" s="13"/>
      <c r="H226" s="49"/>
      <c r="I226" s="49"/>
      <c r="J226" s="20">
        <f t="shared" si="5"/>
        <v>0</v>
      </c>
      <c r="K226" s="24"/>
      <c r="L226" s="25" t="e">
        <f>VLOOKUP(G226,#REF!,2,0)</f>
        <v>#REF!</v>
      </c>
      <c r="M226" s="24" t="s">
        <v>16</v>
      </c>
      <c r="N226" s="24" t="s">
        <v>17</v>
      </c>
      <c r="O226" s="35"/>
    </row>
    <row r="227" spans="2:15" x14ac:dyDescent="0.25">
      <c r="B227" s="12"/>
      <c r="C227" s="14"/>
      <c r="D227" s="14"/>
      <c r="E227" s="13"/>
      <c r="F227" s="14"/>
      <c r="G227" s="13"/>
      <c r="H227" s="49"/>
      <c r="I227" s="49"/>
      <c r="J227" s="20">
        <f t="shared" si="5"/>
        <v>0</v>
      </c>
      <c r="K227" s="24"/>
      <c r="L227" s="25" t="e">
        <f>VLOOKUP(G227,#REF!,2,0)</f>
        <v>#REF!</v>
      </c>
      <c r="M227" s="24" t="s">
        <v>16</v>
      </c>
      <c r="N227" s="24" t="s">
        <v>17</v>
      </c>
      <c r="O227" s="35"/>
    </row>
    <row r="228" spans="2:15" x14ac:dyDescent="0.25">
      <c r="B228" s="12"/>
      <c r="C228" s="14"/>
      <c r="D228" s="14"/>
      <c r="E228" s="13"/>
      <c r="F228" s="14"/>
      <c r="G228" s="13"/>
      <c r="H228" s="49"/>
      <c r="I228" s="49"/>
      <c r="J228" s="20">
        <f t="shared" si="5"/>
        <v>0</v>
      </c>
      <c r="K228" s="24"/>
      <c r="L228" s="25" t="e">
        <f>VLOOKUP(G228,#REF!,2,0)</f>
        <v>#REF!</v>
      </c>
      <c r="M228" s="24" t="s">
        <v>16</v>
      </c>
      <c r="N228" s="24" t="s">
        <v>17</v>
      </c>
      <c r="O228" s="35"/>
    </row>
    <row r="229" spans="2:15" x14ac:dyDescent="0.25">
      <c r="B229" s="12"/>
      <c r="C229" s="14"/>
      <c r="D229" s="14"/>
      <c r="E229" s="13"/>
      <c r="F229" s="14"/>
      <c r="G229" s="13"/>
      <c r="H229" s="49"/>
      <c r="I229" s="49"/>
      <c r="J229" s="20">
        <f t="shared" si="5"/>
        <v>0</v>
      </c>
      <c r="K229" s="24"/>
      <c r="L229" s="25" t="e">
        <f>VLOOKUP(G229,#REF!,2,0)</f>
        <v>#REF!</v>
      </c>
      <c r="M229" s="24" t="s">
        <v>16</v>
      </c>
      <c r="N229" s="24" t="s">
        <v>17</v>
      </c>
      <c r="O229" s="35"/>
    </row>
    <row r="230" spans="2:15" x14ac:dyDescent="0.25">
      <c r="B230" s="12"/>
      <c r="C230" s="14"/>
      <c r="D230" s="14"/>
      <c r="E230" s="13"/>
      <c r="F230" s="14"/>
      <c r="G230" s="13"/>
      <c r="H230" s="49"/>
      <c r="I230" s="49"/>
      <c r="J230" s="20">
        <f t="shared" si="5"/>
        <v>0</v>
      </c>
      <c r="K230" s="24"/>
      <c r="L230" s="25" t="e">
        <f>VLOOKUP(G230,#REF!,2,0)</f>
        <v>#REF!</v>
      </c>
      <c r="M230" s="24" t="s">
        <v>16</v>
      </c>
      <c r="N230" s="24" t="s">
        <v>17</v>
      </c>
      <c r="O230" s="35"/>
    </row>
    <row r="231" spans="2:15" x14ac:dyDescent="0.25">
      <c r="B231" s="12"/>
      <c r="C231" s="14"/>
      <c r="D231" s="14"/>
      <c r="E231" s="13"/>
      <c r="F231" s="14"/>
      <c r="G231" s="13"/>
      <c r="H231" s="49"/>
      <c r="I231" s="49"/>
      <c r="J231" s="20">
        <f t="shared" si="5"/>
        <v>0</v>
      </c>
      <c r="K231" s="24"/>
      <c r="L231" s="25" t="e">
        <f>VLOOKUP(G231,#REF!,2,0)</f>
        <v>#REF!</v>
      </c>
      <c r="M231" s="24" t="s">
        <v>16</v>
      </c>
      <c r="N231" s="24" t="s">
        <v>17</v>
      </c>
      <c r="O231" s="35"/>
    </row>
    <row r="232" spans="2:15" x14ac:dyDescent="0.25">
      <c r="B232" s="12"/>
      <c r="C232" s="14"/>
      <c r="D232" s="14"/>
      <c r="E232" s="13"/>
      <c r="F232" s="14"/>
      <c r="G232" s="13"/>
      <c r="H232" s="49"/>
      <c r="I232" s="49"/>
      <c r="J232" s="20">
        <f t="shared" si="5"/>
        <v>0</v>
      </c>
      <c r="K232" s="24"/>
      <c r="L232" s="25" t="e">
        <f>VLOOKUP(G232,#REF!,2,0)</f>
        <v>#REF!</v>
      </c>
      <c r="M232" s="24" t="s">
        <v>16</v>
      </c>
      <c r="N232" s="24" t="s">
        <v>17</v>
      </c>
      <c r="O232" s="35"/>
    </row>
    <row r="233" spans="2:15" x14ac:dyDescent="0.25">
      <c r="B233" s="12"/>
      <c r="C233" s="14"/>
      <c r="D233" s="14"/>
      <c r="E233" s="13"/>
      <c r="F233" s="14"/>
      <c r="G233" s="13"/>
      <c r="H233" s="49"/>
      <c r="I233" s="49"/>
      <c r="J233" s="20">
        <f t="shared" si="5"/>
        <v>0</v>
      </c>
      <c r="K233" s="24"/>
      <c r="L233" s="25" t="e">
        <f>VLOOKUP(G233,#REF!,2,0)</f>
        <v>#REF!</v>
      </c>
      <c r="M233" s="24" t="s">
        <v>16</v>
      </c>
      <c r="N233" s="24" t="s">
        <v>17</v>
      </c>
      <c r="O233" s="35"/>
    </row>
    <row r="234" spans="2:15" x14ac:dyDescent="0.25">
      <c r="B234" s="12"/>
      <c r="C234" s="14"/>
      <c r="D234" s="14"/>
      <c r="E234" s="13"/>
      <c r="F234" s="14"/>
      <c r="G234" s="13"/>
      <c r="H234" s="49"/>
      <c r="I234" s="49"/>
      <c r="J234" s="20">
        <f t="shared" si="5"/>
        <v>0</v>
      </c>
      <c r="K234" s="24"/>
      <c r="L234" s="25" t="e">
        <f>VLOOKUP(G234,#REF!,2,0)</f>
        <v>#REF!</v>
      </c>
      <c r="M234" s="24" t="s">
        <v>16</v>
      </c>
      <c r="N234" s="24" t="s">
        <v>17</v>
      </c>
      <c r="O234" s="35"/>
    </row>
    <row r="235" spans="2:15" x14ac:dyDescent="0.25">
      <c r="B235" s="12"/>
      <c r="C235" s="14"/>
      <c r="D235" s="14"/>
      <c r="E235" s="13"/>
      <c r="F235" s="14"/>
      <c r="G235" s="13"/>
      <c r="H235" s="49"/>
      <c r="I235" s="49"/>
      <c r="J235" s="20">
        <f t="shared" si="5"/>
        <v>0</v>
      </c>
      <c r="K235" s="24"/>
      <c r="L235" s="25" t="e">
        <f>VLOOKUP(G235,#REF!,2,0)</f>
        <v>#REF!</v>
      </c>
      <c r="M235" s="24" t="s">
        <v>16</v>
      </c>
      <c r="N235" s="24" t="s">
        <v>17</v>
      </c>
      <c r="O235" s="35"/>
    </row>
    <row r="236" spans="2:15" x14ac:dyDescent="0.25">
      <c r="B236" s="12"/>
      <c r="C236" s="14"/>
      <c r="D236" s="14"/>
      <c r="E236" s="13"/>
      <c r="F236" s="14"/>
      <c r="G236" s="13"/>
      <c r="H236" s="49"/>
      <c r="I236" s="49"/>
      <c r="J236" s="20">
        <f t="shared" si="5"/>
        <v>0</v>
      </c>
      <c r="K236" s="24"/>
      <c r="L236" s="25" t="e">
        <f>VLOOKUP(G236,#REF!,2,0)</f>
        <v>#REF!</v>
      </c>
      <c r="M236" s="24" t="s">
        <v>16</v>
      </c>
      <c r="N236" s="24" t="s">
        <v>17</v>
      </c>
      <c r="O236" s="35"/>
    </row>
    <row r="237" spans="2:15" x14ac:dyDescent="0.25">
      <c r="B237" s="12"/>
      <c r="C237" s="14"/>
      <c r="D237" s="14"/>
      <c r="E237" s="13"/>
      <c r="F237" s="14"/>
      <c r="G237" s="13"/>
      <c r="H237" s="49"/>
      <c r="I237" s="49"/>
      <c r="J237" s="20">
        <f t="shared" si="5"/>
        <v>0</v>
      </c>
      <c r="K237" s="24"/>
      <c r="L237" s="25" t="e">
        <f>VLOOKUP(G237,#REF!,2,0)</f>
        <v>#REF!</v>
      </c>
      <c r="M237" s="24" t="s">
        <v>16</v>
      </c>
      <c r="N237" s="24" t="s">
        <v>17</v>
      </c>
      <c r="O237" s="35"/>
    </row>
    <row r="238" spans="2:15" x14ac:dyDescent="0.25">
      <c r="B238" s="12"/>
      <c r="C238" s="14"/>
      <c r="D238" s="14"/>
      <c r="E238" s="13"/>
      <c r="F238" s="14"/>
      <c r="G238" s="13"/>
      <c r="H238" s="49"/>
      <c r="I238" s="49"/>
      <c r="J238" s="20">
        <f t="shared" si="5"/>
        <v>0</v>
      </c>
      <c r="K238" s="24"/>
      <c r="L238" s="25" t="e">
        <f>VLOOKUP(G238,#REF!,2,0)</f>
        <v>#REF!</v>
      </c>
      <c r="M238" s="24" t="s">
        <v>16</v>
      </c>
      <c r="N238" s="24" t="s">
        <v>17</v>
      </c>
      <c r="O238" s="35"/>
    </row>
    <row r="239" spans="2:15" x14ac:dyDescent="0.25">
      <c r="B239" s="12"/>
      <c r="C239" s="14"/>
      <c r="D239" s="14"/>
      <c r="E239" s="13"/>
      <c r="F239" s="14"/>
      <c r="G239" s="13"/>
      <c r="H239" s="49"/>
      <c r="I239" s="49"/>
      <c r="J239" s="20">
        <f t="shared" si="5"/>
        <v>0</v>
      </c>
      <c r="K239" s="24"/>
      <c r="L239" s="25" t="e">
        <f>VLOOKUP(G239,#REF!,2,0)</f>
        <v>#REF!</v>
      </c>
      <c r="M239" s="24" t="s">
        <v>16</v>
      </c>
      <c r="N239" s="24" t="s">
        <v>17</v>
      </c>
      <c r="O239" s="35"/>
    </row>
    <row r="240" spans="2:15" x14ac:dyDescent="0.25">
      <c r="B240" s="12"/>
      <c r="C240" s="14"/>
      <c r="D240" s="14"/>
      <c r="E240" s="13"/>
      <c r="F240" s="14"/>
      <c r="G240" s="13"/>
      <c r="H240" s="49"/>
      <c r="I240" s="49"/>
      <c r="J240" s="20">
        <f t="shared" si="5"/>
        <v>0</v>
      </c>
      <c r="K240" s="24"/>
      <c r="L240" s="25" t="e">
        <f>VLOOKUP(G240,#REF!,2,0)</f>
        <v>#REF!</v>
      </c>
      <c r="M240" s="24" t="s">
        <v>16</v>
      </c>
      <c r="N240" s="24" t="s">
        <v>17</v>
      </c>
      <c r="O240" s="35"/>
    </row>
    <row r="241" spans="2:15" x14ac:dyDescent="0.25">
      <c r="B241" s="12"/>
      <c r="C241" s="14"/>
      <c r="D241" s="14"/>
      <c r="E241" s="13"/>
      <c r="F241" s="14"/>
      <c r="G241" s="13"/>
      <c r="H241" s="49"/>
      <c r="I241" s="49"/>
      <c r="J241" s="20">
        <f t="shared" si="5"/>
        <v>0</v>
      </c>
      <c r="K241" s="24"/>
      <c r="L241" s="25" t="e">
        <f>VLOOKUP(G241,#REF!,2,0)</f>
        <v>#REF!</v>
      </c>
      <c r="M241" s="24" t="s">
        <v>16</v>
      </c>
      <c r="N241" s="24" t="s">
        <v>17</v>
      </c>
      <c r="O241" s="35"/>
    </row>
    <row r="242" spans="2:15" x14ac:dyDescent="0.25">
      <c r="B242" s="12"/>
      <c r="C242" s="14"/>
      <c r="D242" s="14"/>
      <c r="E242" s="13"/>
      <c r="F242" s="14"/>
      <c r="G242" s="13"/>
      <c r="H242" s="49"/>
      <c r="I242" s="49"/>
      <c r="J242" s="20">
        <f t="shared" si="5"/>
        <v>0</v>
      </c>
      <c r="K242" s="24"/>
      <c r="L242" s="25" t="e">
        <f>VLOOKUP(G242,#REF!,2,0)</f>
        <v>#REF!</v>
      </c>
      <c r="M242" s="24" t="s">
        <v>16</v>
      </c>
      <c r="N242" s="24" t="s">
        <v>17</v>
      </c>
      <c r="O242" s="35"/>
    </row>
    <row r="243" spans="2:15" x14ac:dyDescent="0.25">
      <c r="B243" s="12"/>
      <c r="C243" s="14"/>
      <c r="D243" s="14"/>
      <c r="E243" s="13"/>
      <c r="F243" s="14"/>
      <c r="G243" s="13"/>
      <c r="H243" s="49"/>
      <c r="I243" s="49"/>
      <c r="J243" s="20">
        <f t="shared" si="5"/>
        <v>0</v>
      </c>
      <c r="K243" s="24"/>
      <c r="L243" s="25" t="e">
        <f>VLOOKUP(G243,#REF!,2,0)</f>
        <v>#REF!</v>
      </c>
      <c r="M243" s="24" t="s">
        <v>16</v>
      </c>
      <c r="N243" s="24" t="s">
        <v>17</v>
      </c>
      <c r="O243" s="35"/>
    </row>
    <row r="244" spans="2:15" x14ac:dyDescent="0.25">
      <c r="B244" s="12"/>
      <c r="C244" s="14"/>
      <c r="D244" s="14"/>
      <c r="E244" s="13"/>
      <c r="F244" s="14"/>
      <c r="G244" s="13"/>
      <c r="H244" s="49"/>
      <c r="I244" s="49"/>
      <c r="J244" s="20">
        <f t="shared" si="5"/>
        <v>0</v>
      </c>
      <c r="K244" s="24"/>
      <c r="L244" s="25" t="e">
        <f>VLOOKUP(G244,#REF!,2,0)</f>
        <v>#REF!</v>
      </c>
      <c r="M244" s="24" t="s">
        <v>16</v>
      </c>
      <c r="N244" s="24" t="s">
        <v>17</v>
      </c>
      <c r="O244" s="35"/>
    </row>
    <row r="245" spans="2:15" x14ac:dyDescent="0.25">
      <c r="B245" s="12"/>
      <c r="C245" s="14"/>
      <c r="D245" s="14"/>
      <c r="E245" s="13"/>
      <c r="F245" s="14"/>
      <c r="G245" s="13"/>
      <c r="H245" s="49"/>
      <c r="I245" s="49"/>
      <c r="J245" s="20">
        <f t="shared" si="5"/>
        <v>0</v>
      </c>
      <c r="K245" s="24"/>
      <c r="L245" s="25" t="e">
        <f>VLOOKUP(G245,#REF!,2,0)</f>
        <v>#REF!</v>
      </c>
      <c r="M245" s="24" t="s">
        <v>16</v>
      </c>
      <c r="N245" s="24" t="s">
        <v>17</v>
      </c>
      <c r="O245" s="35"/>
    </row>
    <row r="246" spans="2:15" x14ac:dyDescent="0.25">
      <c r="B246" s="12"/>
      <c r="C246" s="14"/>
      <c r="D246" s="14"/>
      <c r="E246" s="13"/>
      <c r="F246" s="14"/>
      <c r="G246" s="13"/>
      <c r="H246" s="49"/>
      <c r="I246" s="49"/>
      <c r="J246" s="20">
        <f t="shared" si="5"/>
        <v>0</v>
      </c>
      <c r="K246" s="24"/>
      <c r="L246" s="25" t="e">
        <f>VLOOKUP(G246,#REF!,2,0)</f>
        <v>#REF!</v>
      </c>
      <c r="M246" s="24" t="s">
        <v>16</v>
      </c>
      <c r="N246" s="24" t="s">
        <v>17</v>
      </c>
      <c r="O246" s="35"/>
    </row>
    <row r="247" spans="2:15" x14ac:dyDescent="0.25">
      <c r="B247" s="12"/>
      <c r="C247" s="14"/>
      <c r="D247" s="14"/>
      <c r="E247" s="13"/>
      <c r="F247" s="14"/>
      <c r="G247" s="13"/>
      <c r="H247" s="49"/>
      <c r="I247" s="49"/>
      <c r="J247" s="20">
        <f t="shared" si="5"/>
        <v>0</v>
      </c>
      <c r="K247" s="24"/>
      <c r="L247" s="25" t="e">
        <f>VLOOKUP(G247,#REF!,2,0)</f>
        <v>#REF!</v>
      </c>
      <c r="M247" s="24" t="s">
        <v>16</v>
      </c>
      <c r="N247" s="24" t="s">
        <v>17</v>
      </c>
      <c r="O247" s="35"/>
    </row>
    <row r="248" spans="2:15" x14ac:dyDescent="0.25">
      <c r="B248" s="12"/>
      <c r="C248" s="14"/>
      <c r="D248" s="14"/>
      <c r="E248" s="13"/>
      <c r="F248" s="14"/>
      <c r="G248" s="13"/>
      <c r="H248" s="49"/>
      <c r="I248" s="49"/>
      <c r="J248" s="20">
        <f t="shared" si="5"/>
        <v>0</v>
      </c>
      <c r="K248" s="24"/>
      <c r="L248" s="25" t="e">
        <f>VLOOKUP(G248,#REF!,2,0)</f>
        <v>#REF!</v>
      </c>
      <c r="M248" s="24" t="s">
        <v>16</v>
      </c>
      <c r="N248" s="24" t="s">
        <v>17</v>
      </c>
      <c r="O248" s="35"/>
    </row>
    <row r="249" spans="2:15" x14ac:dyDescent="0.25">
      <c r="B249" s="12"/>
      <c r="C249" s="14"/>
      <c r="D249" s="14"/>
      <c r="E249" s="13"/>
      <c r="F249" s="14"/>
      <c r="G249" s="13"/>
      <c r="H249" s="49"/>
      <c r="I249" s="49"/>
      <c r="J249" s="20">
        <f t="shared" si="5"/>
        <v>0</v>
      </c>
      <c r="K249" s="24"/>
      <c r="L249" s="25" t="e">
        <f>VLOOKUP(G249,#REF!,2,0)</f>
        <v>#REF!</v>
      </c>
      <c r="M249" s="24" t="s">
        <v>16</v>
      </c>
      <c r="N249" s="24" t="s">
        <v>17</v>
      </c>
      <c r="O249" s="35"/>
    </row>
    <row r="250" spans="2:15" x14ac:dyDescent="0.25">
      <c r="B250" s="12"/>
      <c r="C250" s="14"/>
      <c r="D250" s="14"/>
      <c r="E250" s="13"/>
      <c r="F250" s="14"/>
      <c r="G250" s="13"/>
      <c r="H250" s="49"/>
      <c r="I250" s="49"/>
      <c r="J250" s="20">
        <f t="shared" si="5"/>
        <v>0</v>
      </c>
      <c r="K250" s="24"/>
      <c r="L250" s="25" t="e">
        <f>VLOOKUP(G250,#REF!,2,0)</f>
        <v>#REF!</v>
      </c>
      <c r="M250" s="24" t="s">
        <v>16</v>
      </c>
      <c r="N250" s="24" t="s">
        <v>17</v>
      </c>
      <c r="O250" s="35"/>
    </row>
    <row r="251" spans="2:15" x14ac:dyDescent="0.25">
      <c r="B251" s="12"/>
      <c r="C251" s="14"/>
      <c r="D251" s="14"/>
      <c r="E251" s="13"/>
      <c r="F251" s="14"/>
      <c r="G251" s="13"/>
      <c r="H251" s="49"/>
      <c r="I251" s="49"/>
      <c r="J251" s="20">
        <f t="shared" si="5"/>
        <v>0</v>
      </c>
      <c r="K251" s="24"/>
      <c r="L251" s="25" t="e">
        <f>VLOOKUP(G251,#REF!,2,0)</f>
        <v>#REF!</v>
      </c>
      <c r="M251" s="24" t="s">
        <v>16</v>
      </c>
      <c r="N251" s="24" t="s">
        <v>17</v>
      </c>
      <c r="O251" s="35"/>
    </row>
    <row r="252" spans="2:15" x14ac:dyDescent="0.25">
      <c r="B252" s="12"/>
      <c r="C252" s="14"/>
      <c r="D252" s="14"/>
      <c r="E252" s="13"/>
      <c r="F252" s="14"/>
      <c r="G252" s="13"/>
      <c r="H252" s="49"/>
      <c r="I252" s="49"/>
      <c r="J252" s="20">
        <f t="shared" si="5"/>
        <v>0</v>
      </c>
      <c r="K252" s="24"/>
      <c r="L252" s="25" t="e">
        <f>VLOOKUP(G252,#REF!,2,0)</f>
        <v>#REF!</v>
      </c>
      <c r="M252" s="24" t="s">
        <v>16</v>
      </c>
      <c r="N252" s="24" t="s">
        <v>17</v>
      </c>
      <c r="O252" s="35"/>
    </row>
    <row r="253" spans="2:15" x14ac:dyDescent="0.25">
      <c r="B253" s="12"/>
      <c r="C253" s="14"/>
      <c r="D253" s="14"/>
      <c r="E253" s="13"/>
      <c r="F253" s="14"/>
      <c r="G253" s="13"/>
      <c r="H253" s="49"/>
      <c r="I253" s="49"/>
      <c r="J253" s="20">
        <f t="shared" si="5"/>
        <v>0</v>
      </c>
      <c r="K253" s="24"/>
      <c r="L253" s="25" t="e">
        <f>VLOOKUP(G253,#REF!,2,0)</f>
        <v>#REF!</v>
      </c>
      <c r="M253" s="24" t="s">
        <v>16</v>
      </c>
      <c r="N253" s="24" t="s">
        <v>17</v>
      </c>
      <c r="O253" s="35"/>
    </row>
    <row r="254" spans="2:15" x14ac:dyDescent="0.25">
      <c r="B254" s="12"/>
      <c r="C254" s="14"/>
      <c r="D254" s="14"/>
      <c r="E254" s="13"/>
      <c r="F254" s="14"/>
      <c r="G254" s="13"/>
      <c r="H254" s="49"/>
      <c r="I254" s="49"/>
      <c r="J254" s="20">
        <f t="shared" si="5"/>
        <v>0</v>
      </c>
      <c r="K254" s="24"/>
      <c r="L254" s="25" t="e">
        <f>VLOOKUP(G254,#REF!,2,0)</f>
        <v>#REF!</v>
      </c>
      <c r="M254" s="24" t="s">
        <v>16</v>
      </c>
      <c r="N254" s="24" t="s">
        <v>17</v>
      </c>
      <c r="O254" s="35"/>
    </row>
    <row r="255" spans="2:15" x14ac:dyDescent="0.25">
      <c r="B255" s="12"/>
      <c r="C255" s="14"/>
      <c r="D255" s="14"/>
      <c r="E255" s="13"/>
      <c r="F255" s="14"/>
      <c r="G255" s="13"/>
      <c r="H255" s="49"/>
      <c r="I255" s="49"/>
      <c r="J255" s="20">
        <f t="shared" si="5"/>
        <v>0</v>
      </c>
      <c r="K255" s="24"/>
      <c r="L255" s="25" t="e">
        <f>VLOOKUP(G255,#REF!,2,0)</f>
        <v>#REF!</v>
      </c>
      <c r="M255" s="24" t="s">
        <v>16</v>
      </c>
      <c r="N255" s="24" t="s">
        <v>17</v>
      </c>
      <c r="O255" s="35"/>
    </row>
    <row r="256" spans="2:15" x14ac:dyDescent="0.25">
      <c r="B256" s="12"/>
      <c r="C256" s="14"/>
      <c r="D256" s="14"/>
      <c r="E256" s="13"/>
      <c r="F256" s="14"/>
      <c r="G256" s="13"/>
      <c r="H256" s="49"/>
      <c r="I256" s="49"/>
      <c r="J256" s="20">
        <f t="shared" si="5"/>
        <v>0</v>
      </c>
      <c r="K256" s="24"/>
      <c r="L256" s="25" t="e">
        <f>VLOOKUP(G256,#REF!,2,0)</f>
        <v>#REF!</v>
      </c>
      <c r="M256" s="24" t="s">
        <v>16</v>
      </c>
      <c r="N256" s="24" t="s">
        <v>17</v>
      </c>
      <c r="O256" s="35"/>
    </row>
    <row r="257" spans="2:15" x14ac:dyDescent="0.25">
      <c r="B257" s="12"/>
      <c r="C257" s="14"/>
      <c r="D257" s="14"/>
      <c r="E257" s="13"/>
      <c r="F257" s="14"/>
      <c r="G257" s="13"/>
      <c r="H257" s="49"/>
      <c r="I257" s="49"/>
      <c r="J257" s="20">
        <f t="shared" si="5"/>
        <v>0</v>
      </c>
      <c r="K257" s="24"/>
      <c r="L257" s="25" t="e">
        <f>VLOOKUP(G257,#REF!,2,0)</f>
        <v>#REF!</v>
      </c>
      <c r="M257" s="24" t="s">
        <v>16</v>
      </c>
      <c r="N257" s="24" t="s">
        <v>17</v>
      </c>
      <c r="O257" s="35"/>
    </row>
    <row r="258" spans="2:15" x14ac:dyDescent="0.25">
      <c r="B258" s="12"/>
      <c r="C258" s="14"/>
      <c r="D258" s="14"/>
      <c r="E258" s="13"/>
      <c r="F258" s="14"/>
      <c r="G258" s="13"/>
      <c r="H258" s="49"/>
      <c r="I258" s="49"/>
      <c r="J258" s="20">
        <f t="shared" si="5"/>
        <v>0</v>
      </c>
      <c r="K258" s="24"/>
      <c r="L258" s="25" t="e">
        <f>VLOOKUP(G258,#REF!,2,0)</f>
        <v>#REF!</v>
      </c>
      <c r="M258" s="24" t="s">
        <v>16</v>
      </c>
      <c r="N258" s="24" t="s">
        <v>17</v>
      </c>
      <c r="O258" s="35"/>
    </row>
    <row r="259" spans="2:15" x14ac:dyDescent="0.25">
      <c r="B259" s="12"/>
      <c r="C259" s="14"/>
      <c r="D259" s="14"/>
      <c r="E259" s="13"/>
      <c r="F259" s="14"/>
      <c r="G259" s="13"/>
      <c r="H259" s="49"/>
      <c r="I259" s="49"/>
      <c r="J259" s="20">
        <f t="shared" si="5"/>
        <v>0</v>
      </c>
      <c r="K259" s="24"/>
      <c r="L259" s="25" t="e">
        <f>VLOOKUP(G259,#REF!,2,0)</f>
        <v>#REF!</v>
      </c>
      <c r="M259" s="24" t="s">
        <v>16</v>
      </c>
      <c r="N259" s="24" t="s">
        <v>17</v>
      </c>
      <c r="O259" s="35"/>
    </row>
    <row r="260" spans="2:15" x14ac:dyDescent="0.25">
      <c r="B260" s="12"/>
      <c r="C260" s="14"/>
      <c r="D260" s="14"/>
      <c r="E260" s="13"/>
      <c r="F260" s="14"/>
      <c r="G260" s="13"/>
      <c r="H260" s="49"/>
      <c r="I260" s="49"/>
      <c r="J260" s="20">
        <f t="shared" si="5"/>
        <v>0</v>
      </c>
      <c r="K260" s="24"/>
      <c r="L260" s="25" t="e">
        <f>VLOOKUP(G260,#REF!,2,0)</f>
        <v>#REF!</v>
      </c>
      <c r="M260" s="24" t="s">
        <v>16</v>
      </c>
      <c r="N260" s="24" t="s">
        <v>17</v>
      </c>
      <c r="O260" s="35"/>
    </row>
    <row r="261" spans="2:15" x14ac:dyDescent="0.25">
      <c r="B261" s="12"/>
      <c r="C261" s="14"/>
      <c r="D261" s="14"/>
      <c r="E261" s="13"/>
      <c r="F261" s="14"/>
      <c r="G261" s="13"/>
      <c r="H261" s="49"/>
      <c r="I261" s="49"/>
      <c r="J261" s="20">
        <f t="shared" si="5"/>
        <v>0</v>
      </c>
      <c r="K261" s="24"/>
      <c r="L261" s="25" t="e">
        <f>VLOOKUP(G261,#REF!,2,0)</f>
        <v>#REF!</v>
      </c>
      <c r="M261" s="24" t="s">
        <v>16</v>
      </c>
      <c r="N261" s="24" t="s">
        <v>17</v>
      </c>
      <c r="O261" s="35"/>
    </row>
    <row r="262" spans="2:15" x14ac:dyDescent="0.25">
      <c r="B262" s="12"/>
      <c r="C262" s="14"/>
      <c r="D262" s="14"/>
      <c r="E262" s="13"/>
      <c r="F262" s="14"/>
      <c r="G262" s="13"/>
      <c r="H262" s="49"/>
      <c r="I262" s="49"/>
      <c r="J262" s="20">
        <f t="shared" ref="J262:J325" si="6">I262-H262</f>
        <v>0</v>
      </c>
      <c r="K262" s="24"/>
      <c r="L262" s="25" t="e">
        <f>VLOOKUP(G262,#REF!,2,0)</f>
        <v>#REF!</v>
      </c>
      <c r="M262" s="24" t="s">
        <v>16</v>
      </c>
      <c r="N262" s="24" t="s">
        <v>17</v>
      </c>
      <c r="O262" s="35"/>
    </row>
    <row r="263" spans="2:15" x14ac:dyDescent="0.25">
      <c r="B263" s="12"/>
      <c r="C263" s="14"/>
      <c r="D263" s="14"/>
      <c r="E263" s="13"/>
      <c r="F263" s="14"/>
      <c r="G263" s="13"/>
      <c r="H263" s="49"/>
      <c r="I263" s="49"/>
      <c r="J263" s="20">
        <f t="shared" si="6"/>
        <v>0</v>
      </c>
      <c r="K263" s="24"/>
      <c r="L263" s="25" t="e">
        <f>VLOOKUP(G263,#REF!,2,0)</f>
        <v>#REF!</v>
      </c>
      <c r="M263" s="24" t="s">
        <v>16</v>
      </c>
      <c r="N263" s="24" t="s">
        <v>17</v>
      </c>
      <c r="O263" s="35"/>
    </row>
    <row r="264" spans="2:15" x14ac:dyDescent="0.25">
      <c r="B264" s="12"/>
      <c r="C264" s="14"/>
      <c r="D264" s="14"/>
      <c r="E264" s="13"/>
      <c r="F264" s="14"/>
      <c r="G264" s="13"/>
      <c r="H264" s="49"/>
      <c r="I264" s="49"/>
      <c r="J264" s="20">
        <f t="shared" si="6"/>
        <v>0</v>
      </c>
      <c r="K264" s="24"/>
      <c r="L264" s="25" t="e">
        <f>VLOOKUP(G264,#REF!,2,0)</f>
        <v>#REF!</v>
      </c>
      <c r="M264" s="24" t="s">
        <v>16</v>
      </c>
      <c r="N264" s="24" t="s">
        <v>17</v>
      </c>
      <c r="O264" s="35"/>
    </row>
    <row r="265" spans="2:15" x14ac:dyDescent="0.25">
      <c r="B265" s="12"/>
      <c r="C265" s="14"/>
      <c r="D265" s="14"/>
      <c r="E265" s="13"/>
      <c r="F265" s="14"/>
      <c r="G265" s="13"/>
      <c r="H265" s="49"/>
      <c r="I265" s="49"/>
      <c r="J265" s="20">
        <f t="shared" si="6"/>
        <v>0</v>
      </c>
      <c r="K265" s="24"/>
      <c r="L265" s="25" t="e">
        <f>VLOOKUP(G265,#REF!,2,0)</f>
        <v>#REF!</v>
      </c>
      <c r="M265" s="24" t="s">
        <v>16</v>
      </c>
      <c r="N265" s="24" t="s">
        <v>17</v>
      </c>
      <c r="O265" s="35"/>
    </row>
    <row r="266" spans="2:15" x14ac:dyDescent="0.25">
      <c r="B266" s="12"/>
      <c r="C266" s="14"/>
      <c r="D266" s="14"/>
      <c r="E266" s="13"/>
      <c r="F266" s="14"/>
      <c r="G266" s="13"/>
      <c r="H266" s="49"/>
      <c r="I266" s="49"/>
      <c r="J266" s="20">
        <f t="shared" si="6"/>
        <v>0</v>
      </c>
      <c r="K266" s="24"/>
      <c r="L266" s="25" t="e">
        <f>VLOOKUP(G266,#REF!,2,0)</f>
        <v>#REF!</v>
      </c>
      <c r="M266" s="24" t="s">
        <v>16</v>
      </c>
      <c r="N266" s="24" t="s">
        <v>17</v>
      </c>
      <c r="O266" s="35"/>
    </row>
    <row r="267" spans="2:15" x14ac:dyDescent="0.25">
      <c r="B267" s="12"/>
      <c r="C267" s="14"/>
      <c r="D267" s="14"/>
      <c r="E267" s="13"/>
      <c r="F267" s="14"/>
      <c r="G267" s="13"/>
      <c r="H267" s="49"/>
      <c r="I267" s="49"/>
      <c r="J267" s="20">
        <f t="shared" si="6"/>
        <v>0</v>
      </c>
      <c r="K267" s="24"/>
      <c r="L267" s="25" t="e">
        <f>VLOOKUP(G267,#REF!,2,0)</f>
        <v>#REF!</v>
      </c>
      <c r="M267" s="24" t="s">
        <v>16</v>
      </c>
      <c r="N267" s="24" t="s">
        <v>17</v>
      </c>
      <c r="O267" s="35"/>
    </row>
    <row r="268" spans="2:15" x14ac:dyDescent="0.25">
      <c r="B268" s="12"/>
      <c r="C268" s="14"/>
      <c r="D268" s="14"/>
      <c r="E268" s="13"/>
      <c r="F268" s="14"/>
      <c r="G268" s="13"/>
      <c r="H268" s="49"/>
      <c r="I268" s="49"/>
      <c r="J268" s="20">
        <f t="shared" si="6"/>
        <v>0</v>
      </c>
      <c r="K268" s="24"/>
      <c r="L268" s="25" t="e">
        <f>VLOOKUP(G268,#REF!,2,0)</f>
        <v>#REF!</v>
      </c>
      <c r="M268" s="24" t="s">
        <v>16</v>
      </c>
      <c r="N268" s="24" t="s">
        <v>17</v>
      </c>
      <c r="O268" s="35"/>
    </row>
    <row r="269" spans="2:15" x14ac:dyDescent="0.25">
      <c r="B269" s="12"/>
      <c r="C269" s="14"/>
      <c r="D269" s="14"/>
      <c r="E269" s="13"/>
      <c r="F269" s="14"/>
      <c r="G269" s="13"/>
      <c r="H269" s="49"/>
      <c r="I269" s="49"/>
      <c r="J269" s="20">
        <f t="shared" si="6"/>
        <v>0</v>
      </c>
      <c r="K269" s="24"/>
      <c r="L269" s="25" t="e">
        <f>VLOOKUP(G269,#REF!,2,0)</f>
        <v>#REF!</v>
      </c>
      <c r="M269" s="24" t="s">
        <v>16</v>
      </c>
      <c r="N269" s="24" t="s">
        <v>17</v>
      </c>
      <c r="O269" s="35"/>
    </row>
    <row r="270" spans="2:15" x14ac:dyDescent="0.25">
      <c r="B270" s="12"/>
      <c r="C270" s="14"/>
      <c r="D270" s="14"/>
      <c r="E270" s="13"/>
      <c r="F270" s="14"/>
      <c r="G270" s="13"/>
      <c r="H270" s="49"/>
      <c r="I270" s="49"/>
      <c r="J270" s="20">
        <f t="shared" si="6"/>
        <v>0</v>
      </c>
      <c r="K270" s="24"/>
      <c r="L270" s="25" t="e">
        <f>VLOOKUP(G270,#REF!,2,0)</f>
        <v>#REF!</v>
      </c>
      <c r="M270" s="24" t="s">
        <v>16</v>
      </c>
      <c r="N270" s="24" t="s">
        <v>17</v>
      </c>
      <c r="O270" s="35"/>
    </row>
    <row r="271" spans="2:15" x14ac:dyDescent="0.25">
      <c r="B271" s="12"/>
      <c r="C271" s="14"/>
      <c r="D271" s="14"/>
      <c r="E271" s="13"/>
      <c r="F271" s="14"/>
      <c r="G271" s="13"/>
      <c r="H271" s="49"/>
      <c r="I271" s="49"/>
      <c r="J271" s="20">
        <f t="shared" si="6"/>
        <v>0</v>
      </c>
      <c r="K271" s="24"/>
      <c r="L271" s="25" t="e">
        <f>VLOOKUP(G271,#REF!,2,0)</f>
        <v>#REF!</v>
      </c>
      <c r="M271" s="24" t="s">
        <v>16</v>
      </c>
      <c r="N271" s="24" t="s">
        <v>17</v>
      </c>
      <c r="O271" s="35"/>
    </row>
    <row r="272" spans="2:15" x14ac:dyDescent="0.25">
      <c r="B272" s="12"/>
      <c r="C272" s="14"/>
      <c r="D272" s="14"/>
      <c r="E272" s="13"/>
      <c r="F272" s="14"/>
      <c r="G272" s="13"/>
      <c r="H272" s="49"/>
      <c r="I272" s="49"/>
      <c r="J272" s="20">
        <f t="shared" si="6"/>
        <v>0</v>
      </c>
      <c r="K272" s="24"/>
      <c r="L272" s="25" t="e">
        <f>VLOOKUP(G272,#REF!,2,0)</f>
        <v>#REF!</v>
      </c>
      <c r="M272" s="24" t="s">
        <v>16</v>
      </c>
      <c r="N272" s="24" t="s">
        <v>17</v>
      </c>
      <c r="O272" s="35"/>
    </row>
    <row r="273" spans="2:15" x14ac:dyDescent="0.25">
      <c r="B273" s="12"/>
      <c r="C273" s="14"/>
      <c r="D273" s="14"/>
      <c r="E273" s="13"/>
      <c r="F273" s="14"/>
      <c r="G273" s="13"/>
      <c r="H273" s="49"/>
      <c r="I273" s="49"/>
      <c r="J273" s="20">
        <f t="shared" si="6"/>
        <v>0</v>
      </c>
      <c r="K273" s="24"/>
      <c r="L273" s="25" t="e">
        <f>VLOOKUP(G273,#REF!,2,0)</f>
        <v>#REF!</v>
      </c>
      <c r="M273" s="24" t="s">
        <v>16</v>
      </c>
      <c r="N273" s="24" t="s">
        <v>17</v>
      </c>
      <c r="O273" s="35"/>
    </row>
    <row r="274" spans="2:15" x14ac:dyDescent="0.25">
      <c r="B274" s="12"/>
      <c r="C274" s="14"/>
      <c r="D274" s="14"/>
      <c r="E274" s="13"/>
      <c r="F274" s="14"/>
      <c r="G274" s="13"/>
      <c r="H274" s="49"/>
      <c r="I274" s="49"/>
      <c r="J274" s="20">
        <f t="shared" si="6"/>
        <v>0</v>
      </c>
      <c r="K274" s="24"/>
      <c r="L274" s="25" t="e">
        <f>VLOOKUP(G274,#REF!,2,0)</f>
        <v>#REF!</v>
      </c>
      <c r="M274" s="24" t="s">
        <v>16</v>
      </c>
      <c r="N274" s="24" t="s">
        <v>17</v>
      </c>
      <c r="O274" s="35"/>
    </row>
    <row r="275" spans="2:15" x14ac:dyDescent="0.25">
      <c r="B275" s="12"/>
      <c r="C275" s="14"/>
      <c r="D275" s="14"/>
      <c r="E275" s="13"/>
      <c r="F275" s="14"/>
      <c r="G275" s="13"/>
      <c r="H275" s="49"/>
      <c r="I275" s="49"/>
      <c r="J275" s="20">
        <f t="shared" si="6"/>
        <v>0</v>
      </c>
      <c r="K275" s="24"/>
      <c r="L275" s="25" t="e">
        <f>VLOOKUP(G275,#REF!,2,0)</f>
        <v>#REF!</v>
      </c>
      <c r="M275" s="24" t="s">
        <v>16</v>
      </c>
      <c r="N275" s="24" t="s">
        <v>17</v>
      </c>
      <c r="O275" s="35"/>
    </row>
    <row r="276" spans="2:15" x14ac:dyDescent="0.25">
      <c r="B276" s="12"/>
      <c r="C276" s="14"/>
      <c r="D276" s="14"/>
      <c r="E276" s="13"/>
      <c r="F276" s="14"/>
      <c r="G276" s="13"/>
      <c r="H276" s="49"/>
      <c r="I276" s="49"/>
      <c r="J276" s="20">
        <f t="shared" si="6"/>
        <v>0</v>
      </c>
      <c r="K276" s="24"/>
      <c r="L276" s="25" t="e">
        <f>VLOOKUP(G276,#REF!,2,0)</f>
        <v>#REF!</v>
      </c>
      <c r="M276" s="24" t="s">
        <v>16</v>
      </c>
      <c r="N276" s="24" t="s">
        <v>17</v>
      </c>
      <c r="O276" s="35"/>
    </row>
    <row r="277" spans="2:15" x14ac:dyDescent="0.25">
      <c r="B277" s="12"/>
      <c r="C277" s="14"/>
      <c r="D277" s="14"/>
      <c r="E277" s="13"/>
      <c r="F277" s="14"/>
      <c r="G277" s="13"/>
      <c r="H277" s="49"/>
      <c r="I277" s="49"/>
      <c r="J277" s="20">
        <f t="shared" si="6"/>
        <v>0</v>
      </c>
      <c r="K277" s="24"/>
      <c r="L277" s="25" t="e">
        <f>VLOOKUP(G277,#REF!,2,0)</f>
        <v>#REF!</v>
      </c>
      <c r="M277" s="24" t="s">
        <v>16</v>
      </c>
      <c r="N277" s="24" t="s">
        <v>17</v>
      </c>
      <c r="O277" s="35"/>
    </row>
    <row r="278" spans="2:15" x14ac:dyDescent="0.25">
      <c r="B278" s="12"/>
      <c r="C278" s="14"/>
      <c r="D278" s="14"/>
      <c r="E278" s="13"/>
      <c r="F278" s="14"/>
      <c r="G278" s="13"/>
      <c r="H278" s="49"/>
      <c r="I278" s="49"/>
      <c r="J278" s="20">
        <f t="shared" si="6"/>
        <v>0</v>
      </c>
      <c r="K278" s="24"/>
      <c r="L278" s="25" t="e">
        <f>VLOOKUP(G278,#REF!,2,0)</f>
        <v>#REF!</v>
      </c>
      <c r="M278" s="24" t="s">
        <v>16</v>
      </c>
      <c r="N278" s="24" t="s">
        <v>17</v>
      </c>
      <c r="O278" s="35"/>
    </row>
    <row r="279" spans="2:15" x14ac:dyDescent="0.25">
      <c r="B279" s="12"/>
      <c r="C279" s="14"/>
      <c r="D279" s="14"/>
      <c r="E279" s="13"/>
      <c r="F279" s="14"/>
      <c r="G279" s="13"/>
      <c r="H279" s="49"/>
      <c r="I279" s="49"/>
      <c r="J279" s="20">
        <f t="shared" si="6"/>
        <v>0</v>
      </c>
      <c r="K279" s="24"/>
      <c r="L279" s="25" t="e">
        <f>VLOOKUP(G279,#REF!,2,0)</f>
        <v>#REF!</v>
      </c>
      <c r="M279" s="24" t="s">
        <v>16</v>
      </c>
      <c r="N279" s="24" t="s">
        <v>17</v>
      </c>
      <c r="O279" s="35"/>
    </row>
    <row r="280" spans="2:15" x14ac:dyDescent="0.25">
      <c r="B280" s="12"/>
      <c r="C280" s="14"/>
      <c r="D280" s="14"/>
      <c r="E280" s="13"/>
      <c r="F280" s="14"/>
      <c r="G280" s="13"/>
      <c r="H280" s="49"/>
      <c r="I280" s="49"/>
      <c r="J280" s="20">
        <f t="shared" si="6"/>
        <v>0</v>
      </c>
      <c r="K280" s="24"/>
      <c r="L280" s="25" t="e">
        <f>VLOOKUP(G280,#REF!,2,0)</f>
        <v>#REF!</v>
      </c>
      <c r="M280" s="24" t="s">
        <v>16</v>
      </c>
      <c r="N280" s="24" t="s">
        <v>17</v>
      </c>
      <c r="O280" s="35"/>
    </row>
    <row r="281" spans="2:15" x14ac:dyDescent="0.25">
      <c r="B281" s="12"/>
      <c r="C281" s="14"/>
      <c r="D281" s="14"/>
      <c r="E281" s="13"/>
      <c r="F281" s="14"/>
      <c r="G281" s="13"/>
      <c r="H281" s="49"/>
      <c r="I281" s="49"/>
      <c r="J281" s="20">
        <f t="shared" si="6"/>
        <v>0</v>
      </c>
      <c r="K281" s="24"/>
      <c r="L281" s="25" t="e">
        <f>VLOOKUP(G281,#REF!,2,0)</f>
        <v>#REF!</v>
      </c>
      <c r="M281" s="24" t="s">
        <v>16</v>
      </c>
      <c r="N281" s="24" t="s">
        <v>17</v>
      </c>
      <c r="O281" s="35"/>
    </row>
    <row r="282" spans="2:15" x14ac:dyDescent="0.25">
      <c r="B282" s="12"/>
      <c r="C282" s="14"/>
      <c r="D282" s="14"/>
      <c r="E282" s="13"/>
      <c r="F282" s="14"/>
      <c r="G282" s="13"/>
      <c r="H282" s="49"/>
      <c r="I282" s="49"/>
      <c r="J282" s="20">
        <f t="shared" si="6"/>
        <v>0</v>
      </c>
      <c r="K282" s="24"/>
      <c r="L282" s="25" t="e">
        <f>VLOOKUP(G282,#REF!,2,0)</f>
        <v>#REF!</v>
      </c>
      <c r="M282" s="24" t="s">
        <v>16</v>
      </c>
      <c r="N282" s="24" t="s">
        <v>17</v>
      </c>
      <c r="O282" s="35"/>
    </row>
    <row r="283" spans="2:15" x14ac:dyDescent="0.25">
      <c r="B283" s="12"/>
      <c r="C283" s="14"/>
      <c r="D283" s="14"/>
      <c r="E283" s="13"/>
      <c r="F283" s="14"/>
      <c r="G283" s="13"/>
      <c r="H283" s="49"/>
      <c r="I283" s="49"/>
      <c r="J283" s="20">
        <f t="shared" si="6"/>
        <v>0</v>
      </c>
      <c r="K283" s="24"/>
      <c r="L283" s="25" t="e">
        <f>VLOOKUP(G283,#REF!,2,0)</f>
        <v>#REF!</v>
      </c>
      <c r="M283" s="24" t="s">
        <v>16</v>
      </c>
      <c r="N283" s="24" t="s">
        <v>17</v>
      </c>
      <c r="O283" s="35"/>
    </row>
    <row r="284" spans="2:15" x14ac:dyDescent="0.25">
      <c r="B284" s="12"/>
      <c r="C284" s="14"/>
      <c r="D284" s="14"/>
      <c r="E284" s="13"/>
      <c r="F284" s="14"/>
      <c r="G284" s="13"/>
      <c r="H284" s="49"/>
      <c r="I284" s="49"/>
      <c r="J284" s="20">
        <f t="shared" si="6"/>
        <v>0</v>
      </c>
      <c r="K284" s="24"/>
      <c r="L284" s="25" t="e">
        <f>VLOOKUP(G284,#REF!,2,0)</f>
        <v>#REF!</v>
      </c>
      <c r="M284" s="24" t="s">
        <v>16</v>
      </c>
      <c r="N284" s="24" t="s">
        <v>17</v>
      </c>
      <c r="O284" s="35"/>
    </row>
    <row r="285" spans="2:15" x14ac:dyDescent="0.25">
      <c r="B285" s="12"/>
      <c r="C285" s="14"/>
      <c r="D285" s="14"/>
      <c r="E285" s="13"/>
      <c r="F285" s="14"/>
      <c r="G285" s="13"/>
      <c r="H285" s="49"/>
      <c r="I285" s="49"/>
      <c r="J285" s="20">
        <f t="shared" si="6"/>
        <v>0</v>
      </c>
      <c r="K285" s="24"/>
      <c r="L285" s="25" t="e">
        <f>VLOOKUP(G285,#REF!,2,0)</f>
        <v>#REF!</v>
      </c>
      <c r="M285" s="24" t="s">
        <v>16</v>
      </c>
      <c r="N285" s="24" t="s">
        <v>17</v>
      </c>
      <c r="O285" s="35"/>
    </row>
    <row r="286" spans="2:15" x14ac:dyDescent="0.25">
      <c r="B286" s="12"/>
      <c r="C286" s="14"/>
      <c r="D286" s="14"/>
      <c r="E286" s="13"/>
      <c r="F286" s="14"/>
      <c r="G286" s="13"/>
      <c r="H286" s="49"/>
      <c r="I286" s="49"/>
      <c r="J286" s="20">
        <f t="shared" si="6"/>
        <v>0</v>
      </c>
      <c r="K286" s="24"/>
      <c r="L286" s="25" t="e">
        <f>VLOOKUP(G286,#REF!,2,0)</f>
        <v>#REF!</v>
      </c>
      <c r="M286" s="24" t="s">
        <v>16</v>
      </c>
      <c r="N286" s="24" t="s">
        <v>17</v>
      </c>
      <c r="O286" s="35"/>
    </row>
    <row r="287" spans="2:15" x14ac:dyDescent="0.25">
      <c r="B287" s="12"/>
      <c r="C287" s="14"/>
      <c r="D287" s="14"/>
      <c r="E287" s="13"/>
      <c r="F287" s="14"/>
      <c r="G287" s="13"/>
      <c r="H287" s="49"/>
      <c r="I287" s="49"/>
      <c r="J287" s="20">
        <f t="shared" si="6"/>
        <v>0</v>
      </c>
      <c r="K287" s="24"/>
      <c r="L287" s="25" t="e">
        <f>VLOOKUP(G287,#REF!,2,0)</f>
        <v>#REF!</v>
      </c>
      <c r="M287" s="24" t="s">
        <v>16</v>
      </c>
      <c r="N287" s="24" t="s">
        <v>17</v>
      </c>
      <c r="O287" s="35"/>
    </row>
    <row r="288" spans="2:15" x14ac:dyDescent="0.25">
      <c r="B288" s="12"/>
      <c r="C288" s="14"/>
      <c r="D288" s="14"/>
      <c r="E288" s="13"/>
      <c r="F288" s="14"/>
      <c r="G288" s="13"/>
      <c r="H288" s="49"/>
      <c r="I288" s="49"/>
      <c r="J288" s="20">
        <f t="shared" si="6"/>
        <v>0</v>
      </c>
      <c r="K288" s="24"/>
      <c r="L288" s="25" t="e">
        <f>VLOOKUP(G288,#REF!,2,0)</f>
        <v>#REF!</v>
      </c>
      <c r="M288" s="24" t="s">
        <v>16</v>
      </c>
      <c r="N288" s="24" t="s">
        <v>17</v>
      </c>
      <c r="O288" s="35"/>
    </row>
    <row r="289" spans="2:15" x14ac:dyDescent="0.25">
      <c r="B289" s="12"/>
      <c r="C289" s="14"/>
      <c r="D289" s="14"/>
      <c r="E289" s="13"/>
      <c r="F289" s="14"/>
      <c r="G289" s="13"/>
      <c r="H289" s="49"/>
      <c r="I289" s="49"/>
      <c r="J289" s="20">
        <f t="shared" si="6"/>
        <v>0</v>
      </c>
      <c r="K289" s="24"/>
      <c r="L289" s="25" t="e">
        <f>VLOOKUP(G289,#REF!,2,0)</f>
        <v>#REF!</v>
      </c>
      <c r="M289" s="24" t="s">
        <v>16</v>
      </c>
      <c r="N289" s="24" t="s">
        <v>17</v>
      </c>
      <c r="O289" s="35"/>
    </row>
    <row r="290" spans="2:15" x14ac:dyDescent="0.25">
      <c r="B290" s="12"/>
      <c r="C290" s="14"/>
      <c r="D290" s="14"/>
      <c r="E290" s="13"/>
      <c r="F290" s="14"/>
      <c r="G290" s="13"/>
      <c r="H290" s="49"/>
      <c r="I290" s="49"/>
      <c r="J290" s="20">
        <f t="shared" si="6"/>
        <v>0</v>
      </c>
      <c r="K290" s="24"/>
      <c r="L290" s="25" t="e">
        <f>VLOOKUP(G290,#REF!,2,0)</f>
        <v>#REF!</v>
      </c>
      <c r="M290" s="24" t="s">
        <v>16</v>
      </c>
      <c r="N290" s="24" t="s">
        <v>17</v>
      </c>
      <c r="O290" s="35"/>
    </row>
    <row r="291" spans="2:15" x14ac:dyDescent="0.25">
      <c r="B291" s="12"/>
      <c r="C291" s="14"/>
      <c r="D291" s="14"/>
      <c r="E291" s="13"/>
      <c r="F291" s="14"/>
      <c r="G291" s="13"/>
      <c r="H291" s="49"/>
      <c r="I291" s="49"/>
      <c r="J291" s="20">
        <f t="shared" si="6"/>
        <v>0</v>
      </c>
      <c r="K291" s="24"/>
      <c r="L291" s="25" t="e">
        <f>VLOOKUP(G291,#REF!,2,0)</f>
        <v>#REF!</v>
      </c>
      <c r="M291" s="24" t="s">
        <v>16</v>
      </c>
      <c r="N291" s="24" t="s">
        <v>17</v>
      </c>
      <c r="O291" s="35"/>
    </row>
    <row r="292" spans="2:15" x14ac:dyDescent="0.25">
      <c r="B292" s="12"/>
      <c r="C292" s="14"/>
      <c r="D292" s="14"/>
      <c r="E292" s="13"/>
      <c r="F292" s="14"/>
      <c r="G292" s="13"/>
      <c r="H292" s="49"/>
      <c r="I292" s="49"/>
      <c r="J292" s="20">
        <f t="shared" si="6"/>
        <v>0</v>
      </c>
      <c r="K292" s="24"/>
      <c r="L292" s="25" t="e">
        <f>VLOOKUP(G292,#REF!,2,0)</f>
        <v>#REF!</v>
      </c>
      <c r="M292" s="24" t="s">
        <v>16</v>
      </c>
      <c r="N292" s="24" t="s">
        <v>17</v>
      </c>
      <c r="O292" s="35"/>
    </row>
    <row r="293" spans="2:15" x14ac:dyDescent="0.25">
      <c r="B293" s="12"/>
      <c r="C293" s="14"/>
      <c r="D293" s="14"/>
      <c r="E293" s="13"/>
      <c r="F293" s="14"/>
      <c r="G293" s="13"/>
      <c r="H293" s="49"/>
      <c r="I293" s="49"/>
      <c r="J293" s="20">
        <f t="shared" si="6"/>
        <v>0</v>
      </c>
      <c r="K293" s="24"/>
      <c r="L293" s="25" t="e">
        <f>VLOOKUP(G293,#REF!,2,0)</f>
        <v>#REF!</v>
      </c>
      <c r="M293" s="24" t="s">
        <v>16</v>
      </c>
      <c r="N293" s="24" t="s">
        <v>17</v>
      </c>
      <c r="O293" s="35"/>
    </row>
    <row r="294" spans="2:15" x14ac:dyDescent="0.25">
      <c r="B294" s="12"/>
      <c r="C294" s="14"/>
      <c r="D294" s="14"/>
      <c r="E294" s="13"/>
      <c r="F294" s="14"/>
      <c r="G294" s="13"/>
      <c r="H294" s="49"/>
      <c r="I294" s="49"/>
      <c r="J294" s="20">
        <f t="shared" si="6"/>
        <v>0</v>
      </c>
      <c r="K294" s="24"/>
      <c r="L294" s="25" t="e">
        <f>VLOOKUP(G294,#REF!,2,0)</f>
        <v>#REF!</v>
      </c>
      <c r="M294" s="24" t="s">
        <v>16</v>
      </c>
      <c r="N294" s="24" t="s">
        <v>17</v>
      </c>
      <c r="O294" s="35"/>
    </row>
    <row r="295" spans="2:15" x14ac:dyDescent="0.25">
      <c r="B295" s="12"/>
      <c r="C295" s="14"/>
      <c r="D295" s="14"/>
      <c r="E295" s="13"/>
      <c r="F295" s="14"/>
      <c r="G295" s="13"/>
      <c r="H295" s="49"/>
      <c r="I295" s="49"/>
      <c r="J295" s="20">
        <f t="shared" si="6"/>
        <v>0</v>
      </c>
      <c r="K295" s="24"/>
      <c r="L295" s="25" t="e">
        <f>VLOOKUP(G295,#REF!,2,0)</f>
        <v>#REF!</v>
      </c>
      <c r="M295" s="24" t="s">
        <v>16</v>
      </c>
      <c r="N295" s="24" t="s">
        <v>17</v>
      </c>
      <c r="O295" s="35"/>
    </row>
    <row r="296" spans="2:15" x14ac:dyDescent="0.25">
      <c r="B296" s="12"/>
      <c r="C296" s="14"/>
      <c r="D296" s="14"/>
      <c r="E296" s="13"/>
      <c r="F296" s="14"/>
      <c r="G296" s="13"/>
      <c r="H296" s="49"/>
      <c r="I296" s="49"/>
      <c r="J296" s="20">
        <f t="shared" si="6"/>
        <v>0</v>
      </c>
      <c r="K296" s="24"/>
      <c r="L296" s="25" t="e">
        <f>VLOOKUP(G296,#REF!,2,0)</f>
        <v>#REF!</v>
      </c>
      <c r="M296" s="24" t="s">
        <v>16</v>
      </c>
      <c r="N296" s="24" t="s">
        <v>17</v>
      </c>
      <c r="O296" s="35"/>
    </row>
    <row r="297" spans="2:15" x14ac:dyDescent="0.25">
      <c r="B297" s="12"/>
      <c r="C297" s="14"/>
      <c r="D297" s="14"/>
      <c r="E297" s="13"/>
      <c r="F297" s="14"/>
      <c r="G297" s="13"/>
      <c r="H297" s="49"/>
      <c r="I297" s="49"/>
      <c r="J297" s="20">
        <f t="shared" si="6"/>
        <v>0</v>
      </c>
      <c r="K297" s="24"/>
      <c r="L297" s="25" t="e">
        <f>VLOOKUP(G297,#REF!,2,0)</f>
        <v>#REF!</v>
      </c>
      <c r="M297" s="24" t="s">
        <v>16</v>
      </c>
      <c r="N297" s="24" t="s">
        <v>17</v>
      </c>
      <c r="O297" s="35"/>
    </row>
    <row r="298" spans="2:15" x14ac:dyDescent="0.25">
      <c r="B298" s="12"/>
      <c r="C298" s="14"/>
      <c r="D298" s="14"/>
      <c r="E298" s="13"/>
      <c r="F298" s="14"/>
      <c r="G298" s="13"/>
      <c r="H298" s="49"/>
      <c r="I298" s="49"/>
      <c r="J298" s="20">
        <f t="shared" si="6"/>
        <v>0</v>
      </c>
      <c r="K298" s="24"/>
      <c r="L298" s="25" t="e">
        <f>VLOOKUP(G298,#REF!,2,0)</f>
        <v>#REF!</v>
      </c>
      <c r="M298" s="24" t="s">
        <v>16</v>
      </c>
      <c r="N298" s="24" t="s">
        <v>17</v>
      </c>
      <c r="O298" s="35"/>
    </row>
    <row r="299" spans="2:15" x14ac:dyDescent="0.25">
      <c r="B299" s="12"/>
      <c r="C299" s="14"/>
      <c r="D299" s="14"/>
      <c r="E299" s="13"/>
      <c r="F299" s="14"/>
      <c r="G299" s="13"/>
      <c r="H299" s="49"/>
      <c r="I299" s="49"/>
      <c r="J299" s="20">
        <f t="shared" si="6"/>
        <v>0</v>
      </c>
      <c r="K299" s="24"/>
      <c r="L299" s="25" t="e">
        <f>VLOOKUP(G299,#REF!,2,0)</f>
        <v>#REF!</v>
      </c>
      <c r="M299" s="24" t="s">
        <v>16</v>
      </c>
      <c r="N299" s="24" t="s">
        <v>17</v>
      </c>
      <c r="O299" s="35"/>
    </row>
    <row r="300" spans="2:15" x14ac:dyDescent="0.25">
      <c r="B300" s="12"/>
      <c r="C300" s="14"/>
      <c r="D300" s="14"/>
      <c r="E300" s="13"/>
      <c r="F300" s="14"/>
      <c r="G300" s="13"/>
      <c r="H300" s="49"/>
      <c r="I300" s="49"/>
      <c r="J300" s="20">
        <f t="shared" si="6"/>
        <v>0</v>
      </c>
      <c r="K300" s="24"/>
      <c r="L300" s="25" t="e">
        <f>VLOOKUP(G300,#REF!,2,0)</f>
        <v>#REF!</v>
      </c>
      <c r="M300" s="24" t="s">
        <v>16</v>
      </c>
      <c r="N300" s="24" t="s">
        <v>17</v>
      </c>
      <c r="O300" s="35"/>
    </row>
    <row r="301" spans="2:15" x14ac:dyDescent="0.25">
      <c r="B301" s="12"/>
      <c r="C301" s="14"/>
      <c r="D301" s="14"/>
      <c r="E301" s="13"/>
      <c r="F301" s="14"/>
      <c r="G301" s="13"/>
      <c r="H301" s="49"/>
      <c r="I301" s="49"/>
      <c r="J301" s="20">
        <f t="shared" si="6"/>
        <v>0</v>
      </c>
      <c r="K301" s="24"/>
      <c r="L301" s="25" t="e">
        <f>VLOOKUP(G301,#REF!,2,0)</f>
        <v>#REF!</v>
      </c>
      <c r="M301" s="24" t="s">
        <v>16</v>
      </c>
      <c r="N301" s="24" t="s">
        <v>17</v>
      </c>
      <c r="O301" s="35"/>
    </row>
    <row r="302" spans="2:15" x14ac:dyDescent="0.25">
      <c r="B302" s="12"/>
      <c r="C302" s="14"/>
      <c r="D302" s="14"/>
      <c r="E302" s="13"/>
      <c r="F302" s="14"/>
      <c r="G302" s="13"/>
      <c r="H302" s="49"/>
      <c r="I302" s="49"/>
      <c r="J302" s="20">
        <f t="shared" si="6"/>
        <v>0</v>
      </c>
      <c r="K302" s="24"/>
      <c r="L302" s="25" t="e">
        <f>VLOOKUP(G302,#REF!,2,0)</f>
        <v>#REF!</v>
      </c>
      <c r="M302" s="24" t="s">
        <v>16</v>
      </c>
      <c r="N302" s="24" t="s">
        <v>17</v>
      </c>
      <c r="O302" s="35"/>
    </row>
    <row r="303" spans="2:15" x14ac:dyDescent="0.25">
      <c r="B303" s="12"/>
      <c r="C303" s="14"/>
      <c r="D303" s="14"/>
      <c r="E303" s="13"/>
      <c r="F303" s="14"/>
      <c r="G303" s="13"/>
      <c r="H303" s="49"/>
      <c r="I303" s="49"/>
      <c r="J303" s="20">
        <f t="shared" si="6"/>
        <v>0</v>
      </c>
      <c r="K303" s="24"/>
      <c r="L303" s="25" t="e">
        <f>VLOOKUP(G303,#REF!,2,0)</f>
        <v>#REF!</v>
      </c>
      <c r="M303" s="24" t="s">
        <v>16</v>
      </c>
      <c r="N303" s="24" t="s">
        <v>17</v>
      </c>
      <c r="O303" s="35"/>
    </row>
    <row r="304" spans="2:15" x14ac:dyDescent="0.25">
      <c r="B304" s="12"/>
      <c r="C304" s="14"/>
      <c r="D304" s="14"/>
      <c r="E304" s="13"/>
      <c r="F304" s="14"/>
      <c r="G304" s="13"/>
      <c r="H304" s="49"/>
      <c r="I304" s="49"/>
      <c r="J304" s="20">
        <f t="shared" si="6"/>
        <v>0</v>
      </c>
      <c r="K304" s="24"/>
      <c r="L304" s="25" t="e">
        <f>VLOOKUP(G304,#REF!,2,0)</f>
        <v>#REF!</v>
      </c>
      <c r="M304" s="24" t="s">
        <v>16</v>
      </c>
      <c r="N304" s="24" t="s">
        <v>17</v>
      </c>
      <c r="O304" s="35"/>
    </row>
    <row r="305" spans="2:15" x14ac:dyDescent="0.25">
      <c r="B305" s="12"/>
      <c r="C305" s="14"/>
      <c r="D305" s="14"/>
      <c r="E305" s="13"/>
      <c r="F305" s="14"/>
      <c r="G305" s="13"/>
      <c r="H305" s="49"/>
      <c r="I305" s="49"/>
      <c r="J305" s="20">
        <f t="shared" si="6"/>
        <v>0</v>
      </c>
      <c r="K305" s="24"/>
      <c r="L305" s="25" t="e">
        <f>VLOOKUP(G305,#REF!,2,0)</f>
        <v>#REF!</v>
      </c>
      <c r="M305" s="24" t="s">
        <v>16</v>
      </c>
      <c r="N305" s="24" t="s">
        <v>17</v>
      </c>
      <c r="O305" s="35"/>
    </row>
    <row r="306" spans="2:15" x14ac:dyDescent="0.25">
      <c r="B306" s="12"/>
      <c r="C306" s="14"/>
      <c r="D306" s="14"/>
      <c r="E306" s="13"/>
      <c r="F306" s="14"/>
      <c r="G306" s="13"/>
      <c r="H306" s="49"/>
      <c r="I306" s="49"/>
      <c r="J306" s="20">
        <f t="shared" si="6"/>
        <v>0</v>
      </c>
      <c r="K306" s="24"/>
      <c r="L306" s="25" t="e">
        <f>VLOOKUP(G306,#REF!,2,0)</f>
        <v>#REF!</v>
      </c>
      <c r="M306" s="24" t="s">
        <v>16</v>
      </c>
      <c r="N306" s="24" t="s">
        <v>17</v>
      </c>
      <c r="O306" s="35"/>
    </row>
    <row r="307" spans="2:15" x14ac:dyDescent="0.25">
      <c r="B307" s="12"/>
      <c r="C307" s="14"/>
      <c r="D307" s="14"/>
      <c r="E307" s="13"/>
      <c r="F307" s="14"/>
      <c r="G307" s="13"/>
      <c r="H307" s="49"/>
      <c r="I307" s="49"/>
      <c r="J307" s="20">
        <f t="shared" si="6"/>
        <v>0</v>
      </c>
      <c r="K307" s="24"/>
      <c r="L307" s="25" t="e">
        <f>VLOOKUP(G307,#REF!,2,0)</f>
        <v>#REF!</v>
      </c>
      <c r="M307" s="24" t="s">
        <v>16</v>
      </c>
      <c r="N307" s="24" t="s">
        <v>17</v>
      </c>
      <c r="O307" s="35"/>
    </row>
    <row r="308" spans="2:15" x14ac:dyDescent="0.25">
      <c r="B308" s="12"/>
      <c r="C308" s="14"/>
      <c r="D308" s="14"/>
      <c r="E308" s="13"/>
      <c r="F308" s="14"/>
      <c r="G308" s="13"/>
      <c r="H308" s="49"/>
      <c r="I308" s="49"/>
      <c r="J308" s="20">
        <f t="shared" si="6"/>
        <v>0</v>
      </c>
      <c r="K308" s="24"/>
      <c r="L308" s="25" t="e">
        <f>VLOOKUP(G308,#REF!,2,0)</f>
        <v>#REF!</v>
      </c>
      <c r="M308" s="24" t="s">
        <v>16</v>
      </c>
      <c r="N308" s="24" t="s">
        <v>17</v>
      </c>
      <c r="O308" s="35"/>
    </row>
    <row r="309" spans="2:15" x14ac:dyDescent="0.25">
      <c r="B309" s="12"/>
      <c r="C309" s="14"/>
      <c r="D309" s="14"/>
      <c r="E309" s="13"/>
      <c r="F309" s="14"/>
      <c r="G309" s="13"/>
      <c r="H309" s="49"/>
      <c r="I309" s="49"/>
      <c r="J309" s="20">
        <f t="shared" si="6"/>
        <v>0</v>
      </c>
      <c r="K309" s="24"/>
      <c r="L309" s="25" t="e">
        <f>VLOOKUP(G309,#REF!,2,0)</f>
        <v>#REF!</v>
      </c>
      <c r="M309" s="24" t="s">
        <v>16</v>
      </c>
      <c r="N309" s="24" t="s">
        <v>17</v>
      </c>
      <c r="O309" s="35"/>
    </row>
    <row r="310" spans="2:15" x14ac:dyDescent="0.25">
      <c r="B310" s="12"/>
      <c r="C310" s="14"/>
      <c r="D310" s="14"/>
      <c r="E310" s="13"/>
      <c r="F310" s="14"/>
      <c r="G310" s="13"/>
      <c r="H310" s="49"/>
      <c r="I310" s="49"/>
      <c r="J310" s="20">
        <f t="shared" si="6"/>
        <v>0</v>
      </c>
      <c r="K310" s="24"/>
      <c r="L310" s="25" t="e">
        <f>VLOOKUP(G310,#REF!,2,0)</f>
        <v>#REF!</v>
      </c>
      <c r="M310" s="24" t="s">
        <v>16</v>
      </c>
      <c r="N310" s="24" t="s">
        <v>17</v>
      </c>
      <c r="O310" s="35"/>
    </row>
    <row r="311" spans="2:15" x14ac:dyDescent="0.25">
      <c r="B311" s="12"/>
      <c r="C311" s="14"/>
      <c r="D311" s="14"/>
      <c r="E311" s="13"/>
      <c r="F311" s="14"/>
      <c r="G311" s="13"/>
      <c r="H311" s="49"/>
      <c r="I311" s="49"/>
      <c r="J311" s="20">
        <f t="shared" si="6"/>
        <v>0</v>
      </c>
      <c r="K311" s="24"/>
      <c r="L311" s="25" t="e">
        <f>VLOOKUP(G311,#REF!,2,0)</f>
        <v>#REF!</v>
      </c>
      <c r="M311" s="24" t="s">
        <v>16</v>
      </c>
      <c r="N311" s="24" t="s">
        <v>17</v>
      </c>
      <c r="O311" s="35"/>
    </row>
    <row r="312" spans="2:15" x14ac:dyDescent="0.25">
      <c r="B312" s="12"/>
      <c r="C312" s="14"/>
      <c r="D312" s="14"/>
      <c r="E312" s="13"/>
      <c r="F312" s="14"/>
      <c r="G312" s="13"/>
      <c r="H312" s="49"/>
      <c r="I312" s="49"/>
      <c r="J312" s="20">
        <f t="shared" si="6"/>
        <v>0</v>
      </c>
      <c r="K312" s="24"/>
      <c r="L312" s="25" t="e">
        <f>VLOOKUP(G312,#REF!,2,0)</f>
        <v>#REF!</v>
      </c>
      <c r="M312" s="24" t="s">
        <v>16</v>
      </c>
      <c r="N312" s="24" t="s">
        <v>17</v>
      </c>
      <c r="O312" s="35"/>
    </row>
    <row r="313" spans="2:15" x14ac:dyDescent="0.25">
      <c r="B313" s="12"/>
      <c r="C313" s="14"/>
      <c r="D313" s="14"/>
      <c r="E313" s="13"/>
      <c r="F313" s="14"/>
      <c r="G313" s="13"/>
      <c r="H313" s="49"/>
      <c r="I313" s="49"/>
      <c r="J313" s="20">
        <f t="shared" si="6"/>
        <v>0</v>
      </c>
      <c r="K313" s="24"/>
      <c r="L313" s="25" t="e">
        <f>VLOOKUP(G313,#REF!,2,0)</f>
        <v>#REF!</v>
      </c>
      <c r="M313" s="24" t="s">
        <v>16</v>
      </c>
      <c r="N313" s="24" t="s">
        <v>17</v>
      </c>
      <c r="O313" s="35"/>
    </row>
    <row r="314" spans="2:15" x14ac:dyDescent="0.25">
      <c r="B314" s="12"/>
      <c r="C314" s="14"/>
      <c r="D314" s="14"/>
      <c r="E314" s="13"/>
      <c r="F314" s="14"/>
      <c r="G314" s="13"/>
      <c r="H314" s="49"/>
      <c r="I314" s="49"/>
      <c r="J314" s="20">
        <f t="shared" si="6"/>
        <v>0</v>
      </c>
      <c r="K314" s="24"/>
      <c r="L314" s="25" t="e">
        <f>VLOOKUP(G314,#REF!,2,0)</f>
        <v>#REF!</v>
      </c>
      <c r="M314" s="24" t="s">
        <v>16</v>
      </c>
      <c r="N314" s="24" t="s">
        <v>17</v>
      </c>
      <c r="O314" s="35"/>
    </row>
    <row r="315" spans="2:15" x14ac:dyDescent="0.25">
      <c r="B315" s="12"/>
      <c r="C315" s="14"/>
      <c r="D315" s="14"/>
      <c r="E315" s="13"/>
      <c r="F315" s="14"/>
      <c r="G315" s="13"/>
      <c r="H315" s="49"/>
      <c r="I315" s="49"/>
      <c r="J315" s="20">
        <f t="shared" si="6"/>
        <v>0</v>
      </c>
      <c r="K315" s="24"/>
      <c r="L315" s="25" t="e">
        <f>VLOOKUP(G315,#REF!,2,0)</f>
        <v>#REF!</v>
      </c>
      <c r="M315" s="24" t="s">
        <v>16</v>
      </c>
      <c r="N315" s="24" t="s">
        <v>17</v>
      </c>
      <c r="O315" s="35"/>
    </row>
    <row r="316" spans="2:15" x14ac:dyDescent="0.25">
      <c r="B316" s="12"/>
      <c r="C316" s="14"/>
      <c r="D316" s="14"/>
      <c r="E316" s="13"/>
      <c r="F316" s="14"/>
      <c r="G316" s="13"/>
      <c r="H316" s="49"/>
      <c r="I316" s="49"/>
      <c r="J316" s="20">
        <f t="shared" si="6"/>
        <v>0</v>
      </c>
      <c r="K316" s="24"/>
      <c r="L316" s="25" t="e">
        <f>VLOOKUP(G316,#REF!,2,0)</f>
        <v>#REF!</v>
      </c>
      <c r="M316" s="24" t="s">
        <v>16</v>
      </c>
      <c r="N316" s="24" t="s">
        <v>17</v>
      </c>
      <c r="O316" s="35"/>
    </row>
    <row r="317" spans="2:15" x14ac:dyDescent="0.25">
      <c r="B317" s="12"/>
      <c r="C317" s="14"/>
      <c r="D317" s="14"/>
      <c r="E317" s="13"/>
      <c r="F317" s="14"/>
      <c r="G317" s="13"/>
      <c r="H317" s="49"/>
      <c r="I317" s="49"/>
      <c r="J317" s="20">
        <f t="shared" si="6"/>
        <v>0</v>
      </c>
      <c r="K317" s="24"/>
      <c r="L317" s="25" t="e">
        <f>VLOOKUP(G317,#REF!,2,0)</f>
        <v>#REF!</v>
      </c>
      <c r="M317" s="24" t="s">
        <v>16</v>
      </c>
      <c r="N317" s="24" t="s">
        <v>17</v>
      </c>
      <c r="O317" s="35"/>
    </row>
    <row r="318" spans="2:15" x14ac:dyDescent="0.25">
      <c r="B318" s="12"/>
      <c r="C318" s="14"/>
      <c r="D318" s="14"/>
      <c r="E318" s="13"/>
      <c r="F318" s="14"/>
      <c r="G318" s="13"/>
      <c r="H318" s="49"/>
      <c r="I318" s="49"/>
      <c r="J318" s="20">
        <f t="shared" si="6"/>
        <v>0</v>
      </c>
      <c r="K318" s="24"/>
      <c r="L318" s="25" t="e">
        <f>VLOOKUP(G318,#REF!,2,0)</f>
        <v>#REF!</v>
      </c>
      <c r="M318" s="24" t="s">
        <v>16</v>
      </c>
      <c r="N318" s="24" t="s">
        <v>17</v>
      </c>
      <c r="O318" s="35"/>
    </row>
    <row r="319" spans="2:15" x14ac:dyDescent="0.25">
      <c r="B319" s="12"/>
      <c r="C319" s="14"/>
      <c r="D319" s="14"/>
      <c r="E319" s="13"/>
      <c r="F319" s="14"/>
      <c r="G319" s="13"/>
      <c r="H319" s="49"/>
      <c r="I319" s="49"/>
      <c r="J319" s="20">
        <f t="shared" si="6"/>
        <v>0</v>
      </c>
      <c r="K319" s="24"/>
      <c r="L319" s="25" t="e">
        <f>VLOOKUP(G319,#REF!,2,0)</f>
        <v>#REF!</v>
      </c>
      <c r="M319" s="24" t="s">
        <v>16</v>
      </c>
      <c r="N319" s="24" t="s">
        <v>17</v>
      </c>
      <c r="O319" s="35"/>
    </row>
    <row r="320" spans="2:15" x14ac:dyDescent="0.25">
      <c r="B320" s="12"/>
      <c r="C320" s="14"/>
      <c r="D320" s="14"/>
      <c r="E320" s="13"/>
      <c r="F320" s="14"/>
      <c r="G320" s="13"/>
      <c r="H320" s="49"/>
      <c r="I320" s="49"/>
      <c r="J320" s="20">
        <f t="shared" si="6"/>
        <v>0</v>
      </c>
      <c r="K320" s="24"/>
      <c r="L320" s="25" t="e">
        <f>VLOOKUP(G320,#REF!,2,0)</f>
        <v>#REF!</v>
      </c>
      <c r="M320" s="24" t="s">
        <v>16</v>
      </c>
      <c r="N320" s="24" t="s">
        <v>17</v>
      </c>
      <c r="O320" s="35"/>
    </row>
    <row r="321" spans="2:15" x14ac:dyDescent="0.25">
      <c r="B321" s="12"/>
      <c r="C321" s="14"/>
      <c r="D321" s="14"/>
      <c r="E321" s="13"/>
      <c r="F321" s="14"/>
      <c r="G321" s="13"/>
      <c r="H321" s="49"/>
      <c r="I321" s="49"/>
      <c r="J321" s="20">
        <f t="shared" si="6"/>
        <v>0</v>
      </c>
      <c r="K321" s="24"/>
      <c r="L321" s="25" t="e">
        <f>VLOOKUP(G321,#REF!,2,0)</f>
        <v>#REF!</v>
      </c>
      <c r="M321" s="24" t="s">
        <v>16</v>
      </c>
      <c r="N321" s="24" t="s">
        <v>17</v>
      </c>
      <c r="O321" s="35"/>
    </row>
    <row r="322" spans="2:15" x14ac:dyDescent="0.25">
      <c r="B322" s="12"/>
      <c r="C322" s="14"/>
      <c r="D322" s="14"/>
      <c r="E322" s="13"/>
      <c r="F322" s="14"/>
      <c r="G322" s="13"/>
      <c r="H322" s="49"/>
      <c r="I322" s="49"/>
      <c r="J322" s="20">
        <f t="shared" si="6"/>
        <v>0</v>
      </c>
      <c r="K322" s="24"/>
      <c r="L322" s="25" t="e">
        <f>VLOOKUP(G322,#REF!,2,0)</f>
        <v>#REF!</v>
      </c>
      <c r="M322" s="24" t="s">
        <v>16</v>
      </c>
      <c r="N322" s="24" t="s">
        <v>17</v>
      </c>
      <c r="O322" s="35"/>
    </row>
    <row r="323" spans="2:15" x14ac:dyDescent="0.25">
      <c r="B323" s="12"/>
      <c r="C323" s="14"/>
      <c r="D323" s="14"/>
      <c r="E323" s="13"/>
      <c r="F323" s="14"/>
      <c r="G323" s="13"/>
      <c r="H323" s="49"/>
      <c r="I323" s="49"/>
      <c r="J323" s="20">
        <f t="shared" si="6"/>
        <v>0</v>
      </c>
      <c r="K323" s="24"/>
      <c r="L323" s="25" t="e">
        <f>VLOOKUP(G323,#REF!,2,0)</f>
        <v>#REF!</v>
      </c>
      <c r="M323" s="24" t="s">
        <v>16</v>
      </c>
      <c r="N323" s="24" t="s">
        <v>17</v>
      </c>
      <c r="O323" s="35"/>
    </row>
    <row r="324" spans="2:15" x14ac:dyDescent="0.25">
      <c r="B324" s="12"/>
      <c r="C324" s="14"/>
      <c r="D324" s="14"/>
      <c r="E324" s="13"/>
      <c r="F324" s="14"/>
      <c r="G324" s="13"/>
      <c r="H324" s="49"/>
      <c r="I324" s="49"/>
      <c r="J324" s="20">
        <f t="shared" si="6"/>
        <v>0</v>
      </c>
      <c r="K324" s="24"/>
      <c r="L324" s="25" t="e">
        <f>VLOOKUP(G324,#REF!,2,0)</f>
        <v>#REF!</v>
      </c>
      <c r="M324" s="24" t="s">
        <v>16</v>
      </c>
      <c r="N324" s="24" t="s">
        <v>17</v>
      </c>
      <c r="O324" s="35"/>
    </row>
    <row r="325" spans="2:15" x14ac:dyDescent="0.25">
      <c r="B325" s="12"/>
      <c r="C325" s="14"/>
      <c r="D325" s="14"/>
      <c r="E325" s="13"/>
      <c r="F325" s="14"/>
      <c r="G325" s="13"/>
      <c r="H325" s="49"/>
      <c r="I325" s="49"/>
      <c r="J325" s="20">
        <f t="shared" si="6"/>
        <v>0</v>
      </c>
      <c r="K325" s="24"/>
      <c r="L325" s="25" t="e">
        <f>VLOOKUP(G325,#REF!,2,0)</f>
        <v>#REF!</v>
      </c>
      <c r="M325" s="24" t="s">
        <v>16</v>
      </c>
      <c r="N325" s="24" t="s">
        <v>17</v>
      </c>
      <c r="O325" s="35"/>
    </row>
    <row r="326" spans="2:15" x14ac:dyDescent="0.25">
      <c r="B326" s="12"/>
      <c r="C326" s="14"/>
      <c r="D326" s="14"/>
      <c r="E326" s="13"/>
      <c r="F326" s="14"/>
      <c r="G326" s="13"/>
      <c r="H326" s="49"/>
      <c r="I326" s="49"/>
      <c r="J326" s="20">
        <f t="shared" ref="J326:J335" si="7">I326-H326</f>
        <v>0</v>
      </c>
      <c r="K326" s="24"/>
      <c r="L326" s="25" t="e">
        <f>VLOOKUP(G326,#REF!,2,0)</f>
        <v>#REF!</v>
      </c>
      <c r="M326" s="24" t="s">
        <v>16</v>
      </c>
      <c r="N326" s="24" t="s">
        <v>17</v>
      </c>
      <c r="O326" s="35"/>
    </row>
    <row r="327" spans="2:15" x14ac:dyDescent="0.25">
      <c r="B327" s="12"/>
      <c r="C327" s="14"/>
      <c r="D327" s="14"/>
      <c r="E327" s="13"/>
      <c r="F327" s="14"/>
      <c r="G327" s="13"/>
      <c r="H327" s="49"/>
      <c r="I327" s="49"/>
      <c r="J327" s="20">
        <f t="shared" si="7"/>
        <v>0</v>
      </c>
      <c r="K327" s="24"/>
      <c r="L327" s="25" t="e">
        <f>VLOOKUP(G327,#REF!,2,0)</f>
        <v>#REF!</v>
      </c>
      <c r="M327" s="24" t="s">
        <v>16</v>
      </c>
      <c r="N327" s="24" t="s">
        <v>17</v>
      </c>
      <c r="O327" s="35"/>
    </row>
    <row r="328" spans="2:15" x14ac:dyDescent="0.25">
      <c r="B328" s="12"/>
      <c r="C328" s="14"/>
      <c r="D328" s="14"/>
      <c r="E328" s="13"/>
      <c r="F328" s="14"/>
      <c r="G328" s="13"/>
      <c r="H328" s="49"/>
      <c r="I328" s="49"/>
      <c r="J328" s="20">
        <f t="shared" si="7"/>
        <v>0</v>
      </c>
      <c r="K328" s="24"/>
      <c r="L328" s="25" t="e">
        <f>VLOOKUP(G328,#REF!,2,0)</f>
        <v>#REF!</v>
      </c>
      <c r="M328" s="24" t="s">
        <v>16</v>
      </c>
      <c r="N328" s="24" t="s">
        <v>17</v>
      </c>
      <c r="O328" s="35"/>
    </row>
    <row r="329" spans="2:15" x14ac:dyDescent="0.25">
      <c r="B329" s="12"/>
      <c r="C329" s="14"/>
      <c r="D329" s="14"/>
      <c r="E329" s="13"/>
      <c r="F329" s="14"/>
      <c r="G329" s="13"/>
      <c r="H329" s="49"/>
      <c r="I329" s="49"/>
      <c r="J329" s="20">
        <f t="shared" si="7"/>
        <v>0</v>
      </c>
      <c r="K329" s="24"/>
      <c r="L329" s="25" t="e">
        <f>VLOOKUP(G329,#REF!,2,0)</f>
        <v>#REF!</v>
      </c>
      <c r="M329" s="24" t="s">
        <v>16</v>
      </c>
      <c r="N329" s="24" t="s">
        <v>17</v>
      </c>
      <c r="O329" s="35"/>
    </row>
    <row r="330" spans="2:15" x14ac:dyDescent="0.25">
      <c r="B330" s="12"/>
      <c r="C330" s="14"/>
      <c r="D330" s="14"/>
      <c r="E330" s="13"/>
      <c r="F330" s="14"/>
      <c r="G330" s="13"/>
      <c r="H330" s="49"/>
      <c r="I330" s="49"/>
      <c r="J330" s="20">
        <f t="shared" si="7"/>
        <v>0</v>
      </c>
      <c r="K330" s="24"/>
      <c r="L330" s="25" t="e">
        <f>VLOOKUP(G330,#REF!,2,0)</f>
        <v>#REF!</v>
      </c>
      <c r="M330" s="24" t="s">
        <v>16</v>
      </c>
      <c r="N330" s="24" t="s">
        <v>17</v>
      </c>
      <c r="O330" s="35"/>
    </row>
    <row r="331" spans="2:15" x14ac:dyDescent="0.25">
      <c r="B331" s="12"/>
      <c r="C331" s="14"/>
      <c r="D331" s="14"/>
      <c r="E331" s="13"/>
      <c r="F331" s="14"/>
      <c r="G331" s="13"/>
      <c r="H331" s="49"/>
      <c r="I331" s="49"/>
      <c r="J331" s="20">
        <f t="shared" si="7"/>
        <v>0</v>
      </c>
      <c r="K331" s="24"/>
      <c r="L331" s="25" t="e">
        <f>VLOOKUP(G331,#REF!,2,0)</f>
        <v>#REF!</v>
      </c>
      <c r="M331" s="24" t="s">
        <v>16</v>
      </c>
      <c r="N331" s="24" t="s">
        <v>17</v>
      </c>
      <c r="O331" s="35"/>
    </row>
    <row r="332" spans="2:15" x14ac:dyDescent="0.25">
      <c r="B332" s="12"/>
      <c r="C332" s="14"/>
      <c r="D332" s="14"/>
      <c r="E332" s="13"/>
      <c r="F332" s="14"/>
      <c r="G332" s="13"/>
      <c r="H332" s="49"/>
      <c r="I332" s="49"/>
      <c r="J332" s="20">
        <f t="shared" si="7"/>
        <v>0</v>
      </c>
      <c r="K332" s="24"/>
      <c r="L332" s="25" t="e">
        <f>VLOOKUP(G332,#REF!,2,0)</f>
        <v>#REF!</v>
      </c>
      <c r="M332" s="24" t="s">
        <v>16</v>
      </c>
      <c r="N332" s="24" t="s">
        <v>17</v>
      </c>
      <c r="O332" s="35"/>
    </row>
    <row r="333" spans="2:15" x14ac:dyDescent="0.25">
      <c r="B333" s="12"/>
      <c r="C333" s="14"/>
      <c r="D333" s="14"/>
      <c r="E333" s="13"/>
      <c r="F333" s="14"/>
      <c r="G333" s="13"/>
      <c r="H333" s="49"/>
      <c r="I333" s="49"/>
      <c r="J333" s="20">
        <f t="shared" si="7"/>
        <v>0</v>
      </c>
      <c r="K333" s="24"/>
      <c r="L333" s="25" t="e">
        <f>VLOOKUP(G333,#REF!,2,0)</f>
        <v>#REF!</v>
      </c>
      <c r="M333" s="24" t="s">
        <v>16</v>
      </c>
      <c r="N333" s="24" t="s">
        <v>17</v>
      </c>
      <c r="O333" s="35"/>
    </row>
    <row r="334" spans="2:15" x14ac:dyDescent="0.25">
      <c r="B334" s="12"/>
      <c r="C334" s="14"/>
      <c r="D334" s="14"/>
      <c r="E334" s="13"/>
      <c r="F334" s="14"/>
      <c r="G334" s="13"/>
      <c r="H334" s="49"/>
      <c r="I334" s="49"/>
      <c r="J334" s="20">
        <f t="shared" si="7"/>
        <v>0</v>
      </c>
      <c r="K334" s="24"/>
      <c r="L334" s="25" t="e">
        <f>VLOOKUP(G334,#REF!,2,0)</f>
        <v>#REF!</v>
      </c>
      <c r="M334" s="24" t="s">
        <v>16</v>
      </c>
      <c r="N334" s="24" t="s">
        <v>17</v>
      </c>
      <c r="O334" s="35"/>
    </row>
    <row r="335" spans="2:15" x14ac:dyDescent="0.25">
      <c r="B335" s="12"/>
      <c r="C335" s="14"/>
      <c r="D335" s="14"/>
      <c r="E335" s="13"/>
      <c r="F335" s="14"/>
      <c r="G335" s="13"/>
      <c r="H335" s="49"/>
      <c r="I335" s="49"/>
      <c r="J335" s="20">
        <f t="shared" si="7"/>
        <v>0</v>
      </c>
      <c r="K335" s="24"/>
      <c r="L335" s="25" t="e">
        <f>VLOOKUP(G335,#REF!,2,0)</f>
        <v>#REF!</v>
      </c>
      <c r="M335" s="24" t="s">
        <v>16</v>
      </c>
      <c r="N335" s="24" t="s">
        <v>17</v>
      </c>
      <c r="O335" s="35"/>
    </row>
    <row r="336" spans="2:15" x14ac:dyDescent="0.25">
      <c r="G336" s="37"/>
    </row>
    <row r="1048573" spans="7:15" x14ac:dyDescent="0.25">
      <c r="K1048573" s="26" t="s">
        <v>15</v>
      </c>
      <c r="M1048573" s="15" t="s">
        <v>34</v>
      </c>
      <c r="N1048573" s="15" t="s">
        <v>35</v>
      </c>
      <c r="O1048573" s="6" t="s">
        <v>32</v>
      </c>
    </row>
    <row r="1048574" spans="7:15" x14ac:dyDescent="0.25">
      <c r="K1048574" s="26" t="s">
        <v>36</v>
      </c>
      <c r="M1048574" s="15" t="s">
        <v>37</v>
      </c>
      <c r="N1048574" s="15" t="s">
        <v>17</v>
      </c>
      <c r="O1048574" s="6" t="s">
        <v>33</v>
      </c>
    </row>
    <row r="1048575" spans="7:15" x14ac:dyDescent="0.25">
      <c r="G1048575" s="17"/>
      <c r="M1048575" s="15" t="s">
        <v>16</v>
      </c>
      <c r="N1048575" s="15" t="s">
        <v>38</v>
      </c>
      <c r="O1048575" s="6" t="s">
        <v>18</v>
      </c>
    </row>
    <row r="1048576" spans="7:15" x14ac:dyDescent="0.25">
      <c r="G1048576" s="17"/>
      <c r="M1048576" s="15" t="s">
        <v>39</v>
      </c>
    </row>
  </sheetData>
  <dataValidations count="6">
    <dataValidation type="list" allowBlank="1" showInputMessage="1" showErrorMessage="1" sqref="G150 G126 G130 G134 G138 G142 G146 G154 G191:G1048576" xr:uid="{00000000-0002-0000-0000-000000000000}">
      <formula1>$A$1:$A$17</formula1>
    </dataValidation>
    <dataValidation type="list" allowBlank="1" showInputMessage="1" showErrorMessage="1" sqref="K9:K44" xr:uid="{00000000-0002-0000-0000-000001000000}">
      <formula1>$K$1048573:$K$1048574</formula1>
    </dataValidation>
    <dataValidation type="list" allowBlank="1" showInputMessage="1" showErrorMessage="1" sqref="N9:N335" xr:uid="{00000000-0002-0000-0000-000003000000}">
      <formula1>$N$1048573:$N$1048575</formula1>
    </dataValidation>
    <dataValidation type="list" allowBlank="1" showInputMessage="1" showErrorMessage="1" sqref="O9:O104" xr:uid="{00000000-0002-0000-0000-000004000000}">
      <formula1>$O$1048573:$O$1048575</formula1>
    </dataValidation>
    <dataValidation type="list" allowBlank="1" showInputMessage="1" showErrorMessage="1" sqref="K45:K104" xr:uid="{B773CD89-F6B9-44BA-AC2B-5D3379BCD4E3}">
      <formula1>#REF!</formula1>
    </dataValidation>
    <dataValidation type="list" allowBlank="1" showInputMessage="1" showErrorMessage="1" sqref="M9:M335" xr:uid="{00000000-0002-0000-0000-000002000000}">
      <formula1>$M$1048573:$M$1048576</formula1>
    </dataValidation>
  </dataValidations>
  <pageMargins left="0.7" right="0.7" top="0.75" bottom="0.75" header="0.3" footer="0.3"/>
  <pageSetup orientation="portrait" horizontalDpi="90" verticalDpi="90" r:id="rId1"/>
  <drawing r:id="rId2"/>
  <legacyDrawing r:id="rId3"/>
  <controls>
    <mc:AlternateContent xmlns:mc="http://schemas.openxmlformats.org/markup-compatibility/2006">
      <mc:Choice Requires="x14">
        <control shapeId="1027" r:id="rId4" name="CommandButton3">
          <controlPr defaultSize="0" autoLine="0" r:id="rId5">
            <anchor moveWithCells="1">
              <from>
                <xdr:col>10</xdr:col>
                <xdr:colOff>0</xdr:colOff>
                <xdr:row>4</xdr:row>
                <xdr:rowOff>31750</xdr:rowOff>
              </from>
              <to>
                <xdr:col>11</xdr:col>
                <xdr:colOff>222250</xdr:colOff>
                <xdr:row>6</xdr:row>
                <xdr:rowOff>0</xdr:rowOff>
              </to>
            </anchor>
          </controlPr>
        </control>
      </mc:Choice>
      <mc:Fallback>
        <control shapeId="1027" r:id="rId4" name="CommandButton3"/>
      </mc:Fallback>
    </mc:AlternateContent>
    <mc:AlternateContent xmlns:mc="http://schemas.openxmlformats.org/markup-compatibility/2006">
      <mc:Choice Requires="x14">
        <control shapeId="1026" r:id="rId6" name="CommandButton2">
          <controlPr defaultSize="0" autoLine="0" r:id="rId7">
            <anchor moveWithCells="1">
              <from>
                <xdr:col>7</xdr:col>
                <xdr:colOff>247650</xdr:colOff>
                <xdr:row>4</xdr:row>
                <xdr:rowOff>31750</xdr:rowOff>
              </from>
              <to>
                <xdr:col>9</xdr:col>
                <xdr:colOff>311150</xdr:colOff>
                <xdr:row>6</xdr:row>
                <xdr:rowOff>12700</xdr:rowOff>
              </to>
            </anchor>
          </controlPr>
        </control>
      </mc:Choice>
      <mc:Fallback>
        <control shapeId="1026" r:id="rId6" name="CommandButton2"/>
      </mc:Fallback>
    </mc:AlternateContent>
    <mc:AlternateContent xmlns:mc="http://schemas.openxmlformats.org/markup-compatibility/2006">
      <mc:Choice Requires="x14">
        <control shapeId="1025" r:id="rId8" name="CommandButton1">
          <controlPr defaultSize="0" autoLine="0" r:id="rId9">
            <anchor moveWithCells="1">
              <from>
                <xdr:col>6</xdr:col>
                <xdr:colOff>12700</xdr:colOff>
                <xdr:row>4</xdr:row>
                <xdr:rowOff>50800</xdr:rowOff>
              </from>
              <to>
                <xdr:col>6</xdr:col>
                <xdr:colOff>952500</xdr:colOff>
                <xdr:row>6</xdr:row>
                <xdr:rowOff>19050</xdr:rowOff>
              </to>
            </anchor>
          </controlPr>
        </control>
      </mc:Choice>
      <mc:Fallback>
        <control shapeId="1025" r:id="rId8" name="CommandButton1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5000000}">
          <x14:formula1>
            <xm:f>'C:\Users\RamkiV\AppData\Local\Microsoft\Windows\INetCache\Content.Outlook\HIPC015K\[NYU - Credit Balance - TMS Template -Correspondence - 071425.xlsm]List.'!#REF!</xm:f>
          </x14:formula1>
          <xm:sqref>G150 G154 G134 G138 G142 G146 G120 G126 G130 G190 G108 G112 G116 G159 G163 G167 G171 G175 G181 G185</xm:sqref>
        </x14:dataValidation>
        <x14:dataValidation type="list" allowBlank="1" showInputMessage="1" showErrorMessage="1" xr:uid="{00000000-0002-0000-0000-000006000000}">
          <x14:formula1>
            <xm:f>'https://omegahms365-my.sharepoint.com/personal/saady_omegahms_com/Documents/Microsoft Teams Chat Files/[Copy of NYU - Retro edits - TMS 7.24 (Time study).xlsm]List.'!#REF!</xm:f>
          </x14:formula1>
          <xm:sqref>G109:G111 G113:G115 G117:G119 G121:G154 G105:G107</xm:sqref>
        </x14:dataValidation>
        <x14:dataValidation type="list" allowBlank="1" showInputMessage="1" showErrorMessage="1" xr:uid="{00000000-0002-0000-0000-000007000000}">
          <x14:formula1>
            <xm:f>'C:\Users\RamkiV\Desktop\NYU TMS\[NYU - Retro edits - TMS 0722.xlsm]List.'!#REF!</xm:f>
          </x14:formula1>
          <xm:sqref>G182:G184 G177:G180 G186:G189</xm:sqref>
        </x14:dataValidation>
        <x14:dataValidation type="list" allowBlank="1" showInputMessage="1" showErrorMessage="1" xr:uid="{00000000-0002-0000-0000-000008000000}">
          <x14:formula1>
            <xm:f>'https://omegahms365-my.sharepoint.com/personal/saady_omegahms_com/Documents/Microsoft Teams Chat Files/[NYU - Retro edits - TMS Consolidation.xlsm]List.'!#REF!</xm:f>
          </x14:formula1>
          <xm:sqref>G160:G162 G155:G158 G164:G166 G168:G170 G172:G174 G176</xm:sqref>
        </x14:dataValidation>
        <x14:dataValidation type="list" allowBlank="1" showInputMessage="1" showErrorMessage="1" xr:uid="{DCD94C89-9906-4D4E-8298-A2D5584F9744}">
          <x14:formula1>
            <xm:f>Call!$A:$A</xm:f>
          </x14:formula1>
          <xm:sqref>G9:G44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0"/>
  <sheetViews>
    <sheetView topLeftCell="A10" workbookViewId="0">
      <selection sqref="A1:B26"/>
    </sheetView>
  </sheetViews>
  <sheetFormatPr defaultRowHeight="14.5" x14ac:dyDescent="0.35"/>
  <cols>
    <col min="1" max="1" width="88.1796875" bestFit="1" customWidth="1"/>
  </cols>
  <sheetData>
    <row r="1" spans="1:2" x14ac:dyDescent="0.35">
      <c r="A1" s="36" t="s">
        <v>14</v>
      </c>
      <c r="B1" t="s">
        <v>40</v>
      </c>
    </row>
    <row r="2" spans="1:2" x14ac:dyDescent="0.35">
      <c r="A2" s="36" t="s">
        <v>88</v>
      </c>
      <c r="B2" t="s">
        <v>40</v>
      </c>
    </row>
    <row r="3" spans="1:2" x14ac:dyDescent="0.35">
      <c r="A3" s="6" t="s">
        <v>89</v>
      </c>
      <c r="B3" t="s">
        <v>41</v>
      </c>
    </row>
    <row r="4" spans="1:2" x14ac:dyDescent="0.35">
      <c r="A4" s="6" t="s">
        <v>90</v>
      </c>
      <c r="B4" t="s">
        <v>41</v>
      </c>
    </row>
    <row r="5" spans="1:2" x14ac:dyDescent="0.35">
      <c r="A5" s="6" t="s">
        <v>91</v>
      </c>
      <c r="B5" t="s">
        <v>41</v>
      </c>
    </row>
    <row r="6" spans="1:2" x14ac:dyDescent="0.35">
      <c r="A6" s="6" t="s">
        <v>92</v>
      </c>
      <c r="B6" t="s">
        <v>41</v>
      </c>
    </row>
    <row r="7" spans="1:2" x14ac:dyDescent="0.35">
      <c r="A7" s="6" t="s">
        <v>93</v>
      </c>
      <c r="B7" t="s">
        <v>40</v>
      </c>
    </row>
    <row r="8" spans="1:2" x14ac:dyDescent="0.35">
      <c r="A8" s="6" t="s">
        <v>94</v>
      </c>
      <c r="B8" t="s">
        <v>41</v>
      </c>
    </row>
    <row r="9" spans="1:2" x14ac:dyDescent="0.35">
      <c r="A9" s="6" t="s">
        <v>95</v>
      </c>
      <c r="B9" t="s">
        <v>40</v>
      </c>
    </row>
    <row r="10" spans="1:2" x14ac:dyDescent="0.35">
      <c r="A10" s="6" t="s">
        <v>96</v>
      </c>
      <c r="B10" t="s">
        <v>44</v>
      </c>
    </row>
    <row r="11" spans="1:2" x14ac:dyDescent="0.35">
      <c r="A11" s="6" t="s">
        <v>97</v>
      </c>
      <c r="B11" t="s">
        <v>44</v>
      </c>
    </row>
    <row r="12" spans="1:2" x14ac:dyDescent="0.35">
      <c r="A12" s="6" t="s">
        <v>98</v>
      </c>
      <c r="B12" t="s">
        <v>40</v>
      </c>
    </row>
    <row r="13" spans="1:2" x14ac:dyDescent="0.35">
      <c r="A13" s="6" t="s">
        <v>85</v>
      </c>
      <c r="B13" t="s">
        <v>41</v>
      </c>
    </row>
    <row r="14" spans="1:2" x14ac:dyDescent="0.35">
      <c r="A14" s="36" t="s">
        <v>86</v>
      </c>
      <c r="B14" t="s">
        <v>41</v>
      </c>
    </row>
    <row r="15" spans="1:2" x14ac:dyDescent="0.35">
      <c r="A15" s="6" t="s">
        <v>87</v>
      </c>
      <c r="B15" t="s">
        <v>44</v>
      </c>
    </row>
    <row r="16" spans="1:2" x14ac:dyDescent="0.35">
      <c r="A16" s="6" t="s">
        <v>99</v>
      </c>
      <c r="B16" t="s">
        <v>44</v>
      </c>
    </row>
    <row r="17" spans="1:2" x14ac:dyDescent="0.35">
      <c r="A17" s="6" t="s">
        <v>100</v>
      </c>
      <c r="B17" t="s">
        <v>44</v>
      </c>
    </row>
    <row r="18" spans="1:2" x14ac:dyDescent="0.35">
      <c r="A18" s="36" t="s">
        <v>27</v>
      </c>
      <c r="B18" t="s">
        <v>41</v>
      </c>
    </row>
    <row r="19" spans="1:2" x14ac:dyDescent="0.35">
      <c r="A19" s="36" t="s">
        <v>28</v>
      </c>
      <c r="B19" t="s">
        <v>41</v>
      </c>
    </row>
    <row r="20" spans="1:2" x14ac:dyDescent="0.35">
      <c r="A20" s="36" t="s">
        <v>30</v>
      </c>
      <c r="B20" t="s">
        <v>41</v>
      </c>
    </row>
    <row r="21" spans="1:2" x14ac:dyDescent="0.35">
      <c r="A21" s="36" t="s">
        <v>29</v>
      </c>
      <c r="B21" t="s">
        <v>41</v>
      </c>
    </row>
    <row r="22" spans="1:2" x14ac:dyDescent="0.35">
      <c r="A22" s="36" t="s">
        <v>45</v>
      </c>
      <c r="B22" t="s">
        <v>41</v>
      </c>
    </row>
    <row r="23" spans="1:2" x14ac:dyDescent="0.35">
      <c r="A23" s="36" t="s">
        <v>101</v>
      </c>
      <c r="B23" t="s">
        <v>41</v>
      </c>
    </row>
    <row r="24" spans="1:2" x14ac:dyDescent="0.35">
      <c r="A24" s="36" t="s">
        <v>31</v>
      </c>
      <c r="B24" t="s">
        <v>41</v>
      </c>
    </row>
    <row r="25" spans="1:2" x14ac:dyDescent="0.35">
      <c r="A25" s="36" t="s">
        <v>102</v>
      </c>
      <c r="B25" t="s">
        <v>41</v>
      </c>
    </row>
    <row r="26" spans="1:2" x14ac:dyDescent="0.35">
      <c r="A26" s="36" t="s">
        <v>46</v>
      </c>
      <c r="B26" t="s">
        <v>40</v>
      </c>
    </row>
    <row r="27" spans="1:2" x14ac:dyDescent="0.35">
      <c r="A27" s="33"/>
      <c r="B27" t="s">
        <v>44</v>
      </c>
    </row>
    <row r="28" spans="1:2" x14ac:dyDescent="0.35">
      <c r="A28" s="33"/>
      <c r="B28" t="s">
        <v>44</v>
      </c>
    </row>
    <row r="29" spans="1:2" x14ac:dyDescent="0.35">
      <c r="A29" s="33"/>
      <c r="B29" t="s">
        <v>44</v>
      </c>
    </row>
    <row r="30" spans="1:2" x14ac:dyDescent="0.35">
      <c r="A30" s="33"/>
      <c r="B30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9"/>
  <sheetViews>
    <sheetView workbookViewId="0">
      <selection activeCell="C6" sqref="C6"/>
    </sheetView>
  </sheetViews>
  <sheetFormatPr defaultRowHeight="14.5" x14ac:dyDescent="0.35"/>
  <cols>
    <col min="1" max="1" width="62.1796875" bestFit="1" customWidth="1"/>
    <col min="2" max="2" width="91.26953125" bestFit="1" customWidth="1"/>
  </cols>
  <sheetData>
    <row r="1" spans="1:2" x14ac:dyDescent="0.35">
      <c r="A1" s="23" t="s">
        <v>47</v>
      </c>
      <c r="B1" s="23" t="s">
        <v>48</v>
      </c>
    </row>
    <row r="2" spans="1:2" x14ac:dyDescent="0.35">
      <c r="A2" s="21" t="s">
        <v>49</v>
      </c>
      <c r="B2" s="22" t="s">
        <v>50</v>
      </c>
    </row>
    <row r="3" spans="1:2" x14ac:dyDescent="0.35">
      <c r="A3" s="21" t="s">
        <v>49</v>
      </c>
      <c r="B3" s="22" t="s">
        <v>51</v>
      </c>
    </row>
    <row r="4" spans="1:2" x14ac:dyDescent="0.35">
      <c r="A4" s="21" t="s">
        <v>49</v>
      </c>
      <c r="B4" s="22" t="s">
        <v>52</v>
      </c>
    </row>
    <row r="5" spans="1:2" x14ac:dyDescent="0.35">
      <c r="A5" s="21" t="s">
        <v>49</v>
      </c>
      <c r="B5" s="22" t="s">
        <v>53</v>
      </c>
    </row>
    <row r="6" spans="1:2" x14ac:dyDescent="0.35">
      <c r="A6" s="21" t="s">
        <v>54</v>
      </c>
      <c r="B6" s="22" t="s">
        <v>55</v>
      </c>
    </row>
    <row r="7" spans="1:2" x14ac:dyDescent="0.35">
      <c r="A7" s="21" t="s">
        <v>54</v>
      </c>
      <c r="B7" s="22" t="s">
        <v>56</v>
      </c>
    </row>
    <row r="8" spans="1:2" x14ac:dyDescent="0.35">
      <c r="A8" s="21" t="s">
        <v>54</v>
      </c>
      <c r="B8" s="22" t="s">
        <v>57</v>
      </c>
    </row>
    <row r="9" spans="1:2" x14ac:dyDescent="0.35">
      <c r="A9" s="21" t="s">
        <v>54</v>
      </c>
      <c r="B9" s="22" t="s">
        <v>58</v>
      </c>
    </row>
    <row r="10" spans="1:2" x14ac:dyDescent="0.35">
      <c r="A10" s="21" t="s">
        <v>54</v>
      </c>
      <c r="B10" s="22" t="s">
        <v>59</v>
      </c>
    </row>
    <row r="11" spans="1:2" x14ac:dyDescent="0.35">
      <c r="A11" s="21" t="s">
        <v>54</v>
      </c>
      <c r="B11" s="22" t="s">
        <v>60</v>
      </c>
    </row>
    <row r="12" spans="1:2" x14ac:dyDescent="0.35">
      <c r="A12" s="21" t="s">
        <v>61</v>
      </c>
      <c r="B12" s="22" t="s">
        <v>62</v>
      </c>
    </row>
    <row r="13" spans="1:2" x14ac:dyDescent="0.35">
      <c r="A13" s="21" t="s">
        <v>61</v>
      </c>
      <c r="B13" s="22" t="s">
        <v>63</v>
      </c>
    </row>
    <row r="14" spans="1:2" x14ac:dyDescent="0.35">
      <c r="A14" s="21" t="s">
        <v>61</v>
      </c>
      <c r="B14" s="22" t="s">
        <v>64</v>
      </c>
    </row>
    <row r="15" spans="1:2" x14ac:dyDescent="0.35">
      <c r="A15" s="21" t="s">
        <v>61</v>
      </c>
      <c r="B15" s="22" t="s">
        <v>65</v>
      </c>
    </row>
    <row r="16" spans="1:2" x14ac:dyDescent="0.35">
      <c r="A16" s="21" t="s">
        <v>61</v>
      </c>
      <c r="B16" s="22" t="s">
        <v>66</v>
      </c>
    </row>
    <row r="17" spans="1:2" x14ac:dyDescent="0.35">
      <c r="A17" s="21" t="s">
        <v>61</v>
      </c>
      <c r="B17" s="22" t="s">
        <v>67</v>
      </c>
    </row>
    <row r="18" spans="1:2" x14ac:dyDescent="0.35">
      <c r="A18" s="21" t="s">
        <v>61</v>
      </c>
      <c r="B18" s="22" t="s">
        <v>68</v>
      </c>
    </row>
    <row r="19" spans="1:2" x14ac:dyDescent="0.35">
      <c r="A19" s="21" t="s">
        <v>69</v>
      </c>
      <c r="B19" s="22" t="s">
        <v>70</v>
      </c>
    </row>
    <row r="20" spans="1:2" x14ac:dyDescent="0.35">
      <c r="A20" s="21" t="s">
        <v>69</v>
      </c>
      <c r="B20" s="22" t="s">
        <v>71</v>
      </c>
    </row>
    <row r="21" spans="1:2" x14ac:dyDescent="0.35">
      <c r="A21" s="21" t="s">
        <v>69</v>
      </c>
      <c r="B21" s="22" t="s">
        <v>72</v>
      </c>
    </row>
    <row r="22" spans="1:2" x14ac:dyDescent="0.35">
      <c r="A22" s="21" t="s">
        <v>69</v>
      </c>
      <c r="B22" s="22" t="s">
        <v>73</v>
      </c>
    </row>
    <row r="23" spans="1:2" x14ac:dyDescent="0.35">
      <c r="A23" s="21" t="s">
        <v>69</v>
      </c>
      <c r="B23" s="22" t="s">
        <v>74</v>
      </c>
    </row>
    <row r="24" spans="1:2" x14ac:dyDescent="0.35">
      <c r="A24" s="21" t="s">
        <v>69</v>
      </c>
      <c r="B24" s="22" t="s">
        <v>75</v>
      </c>
    </row>
    <row r="25" spans="1:2" x14ac:dyDescent="0.35">
      <c r="A25" s="21" t="s">
        <v>69</v>
      </c>
      <c r="B25" s="22" t="s">
        <v>76</v>
      </c>
    </row>
    <row r="26" spans="1:2" x14ac:dyDescent="0.35">
      <c r="A26" s="21" t="s">
        <v>69</v>
      </c>
      <c r="B26" s="22" t="s">
        <v>77</v>
      </c>
    </row>
    <row r="27" spans="1:2" x14ac:dyDescent="0.35">
      <c r="A27" s="21" t="s">
        <v>69</v>
      </c>
      <c r="B27" s="22" t="s">
        <v>78</v>
      </c>
    </row>
    <row r="28" spans="1:2" x14ac:dyDescent="0.35">
      <c r="A28" s="21" t="s">
        <v>69</v>
      </c>
      <c r="B28" s="22" t="s">
        <v>79</v>
      </c>
    </row>
    <row r="29" spans="1:2" x14ac:dyDescent="0.35">
      <c r="A29" s="21" t="s">
        <v>80</v>
      </c>
      <c r="B29" s="2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</vt:lpstr>
      <vt:lpstr>Call</vt:lpstr>
      <vt:lpstr>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Anjana Arumadas</dc:creator>
  <cp:keywords/>
  <dc:description/>
  <cp:lastModifiedBy>Vishal Chenaltha</cp:lastModifiedBy>
  <cp:revision/>
  <dcterms:created xsi:type="dcterms:W3CDTF">2021-10-15T05:41:23Z</dcterms:created>
  <dcterms:modified xsi:type="dcterms:W3CDTF">2026-08-25T13:46:56Z</dcterms:modified>
  <cp:category/>
  <cp:contentStatus/>
</cp:coreProperties>
</file>